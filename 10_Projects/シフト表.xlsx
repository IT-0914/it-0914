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編集" sheetId="1" state="visible" r:id="rId1"/>
    <sheet xmlns:r="http://schemas.openxmlformats.org/officeDocument/2006/relationships" name="ビジュアライ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  <color rgb="001F3864"/>
    </font>
    <font>
      <b val="1"/>
      <sz val="10"/>
    </font>
    <font>
      <b val="1"/>
      <color rgb="00FFFFFF"/>
      <sz val="10"/>
    </font>
    <font>
      <sz val="8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2F4F8F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vertical="center"/>
    </xf>
    <xf numFmtId="20" fontId="0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F4B942"/>
        <sz val="8"/>
      </font>
      <fill>
        <patternFill patternType="solid">
          <fgColor rgb="00F4B942"/>
        </patternFill>
      </fill>
    </dxf>
    <dxf>
      <font>
        <color rgb="00CCCCCC"/>
        <sz val="8"/>
      </font>
      <fill>
        <patternFill patternType="solid">
          <fgColor rgb="00CC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 ht="30" customHeight="1">
      <c r="A1" s="1" t="inlineStr">
        <is>
          <t>シフト表 - 時間編集シート</t>
        </is>
      </c>
    </row>
    <row r="2" ht="18" customHeight="1">
      <c r="A2" s="2" t="inlineStr">
        <is>
          <t>※ 各スタッフの「開始時刻」「終了時刻」「中抜け開始」「中抜け終了」を入力してください（例: 9:00）</t>
        </is>
      </c>
    </row>
    <row r="3" ht="22" customHeight="1">
      <c r="A3" s="3" t="inlineStr">
        <is>
          <t>スタッフ</t>
        </is>
      </c>
      <c r="B3" s="3" t="inlineStr">
        <is>
          <t>曜日</t>
        </is>
      </c>
      <c r="C3" s="3" t="inlineStr">
        <is>
          <t>開始時刻</t>
        </is>
      </c>
      <c r="D3" s="3" t="inlineStr">
        <is>
          <t>終了時刻</t>
        </is>
      </c>
      <c r="E3" s="3" t="inlineStr">
        <is>
          <t>中抜け開始</t>
        </is>
      </c>
      <c r="F3" s="3" t="inlineStr">
        <is>
          <t>中抜け終了</t>
        </is>
      </c>
      <c r="G3" s="3" t="inlineStr">
        <is>
          <t>実働時間（自動計算）</t>
        </is>
      </c>
    </row>
    <row r="4" ht="20" customHeight="1">
      <c r="A4" s="4" t="inlineStr">
        <is>
          <t>石渡</t>
        </is>
      </c>
      <c r="B4" s="5" t="inlineStr">
        <is>
          <t>月</t>
        </is>
      </c>
      <c r="C4" s="6" t="inlineStr"/>
      <c r="D4" s="6" t="inlineStr"/>
      <c r="E4" s="6" t="inlineStr"/>
      <c r="F4" s="6" t="inlineStr"/>
      <c r="G4" s="7">
        <f>IF(AND(D4&lt;&gt;"",C4&lt;&gt;""),(D4-C4)-IF(AND(F4&lt;&gt;"",E4&lt;&gt;""),F4-E4,0),"")</f>
        <v/>
      </c>
    </row>
    <row r="5" ht="20" customHeight="1">
      <c r="A5" s="8" t="n"/>
      <c r="B5" s="5" t="inlineStr">
        <is>
          <t>火</t>
        </is>
      </c>
      <c r="C5" s="6" t="inlineStr"/>
      <c r="D5" s="6" t="inlineStr"/>
      <c r="E5" s="6" t="inlineStr"/>
      <c r="F5" s="6" t="inlineStr"/>
      <c r="G5" s="7">
        <f>IF(AND(D5&lt;&gt;"",C5&lt;&gt;""),(D5-C5)-IF(AND(F5&lt;&gt;"",E5&lt;&gt;""),F5-E5,0),"")</f>
        <v/>
      </c>
    </row>
    <row r="6" ht="20" customHeight="1">
      <c r="A6" s="8" t="n"/>
      <c r="B6" s="5" t="inlineStr">
        <is>
          <t>水</t>
        </is>
      </c>
      <c r="C6" s="6" t="inlineStr"/>
      <c r="D6" s="6" t="inlineStr"/>
      <c r="E6" s="6" t="inlineStr"/>
      <c r="F6" s="6" t="inlineStr"/>
      <c r="G6" s="7">
        <f>IF(AND(D6&lt;&gt;"",C6&lt;&gt;""),(D6-C6)-IF(AND(F6&lt;&gt;"",E6&lt;&gt;""),F6-E6,0),"")</f>
        <v/>
      </c>
    </row>
    <row r="7" ht="20" customHeight="1">
      <c r="A7" s="8" t="n"/>
      <c r="B7" s="5" t="inlineStr">
        <is>
          <t>木</t>
        </is>
      </c>
      <c r="C7" s="6" t="inlineStr"/>
      <c r="D7" s="6" t="inlineStr"/>
      <c r="E7" s="6" t="inlineStr"/>
      <c r="F7" s="6" t="inlineStr"/>
      <c r="G7" s="7">
        <f>IF(AND(D7&lt;&gt;"",C7&lt;&gt;""),(D7-C7)-IF(AND(F7&lt;&gt;"",E7&lt;&gt;""),F7-E7,0),"")</f>
        <v/>
      </c>
    </row>
    <row r="8" ht="20" customHeight="1">
      <c r="A8" s="8" t="n"/>
      <c r="B8" s="5" t="inlineStr">
        <is>
          <t>金</t>
        </is>
      </c>
      <c r="C8" s="6" t="inlineStr"/>
      <c r="D8" s="6" t="inlineStr"/>
      <c r="E8" s="6" t="inlineStr"/>
      <c r="F8" s="6" t="inlineStr"/>
      <c r="G8" s="7">
        <f>IF(AND(D8&lt;&gt;"",C8&lt;&gt;""),(D8-C8)-IF(AND(F8&lt;&gt;"",E8&lt;&gt;""),F8-E8,0),"")</f>
        <v/>
      </c>
    </row>
    <row r="9" ht="20" customHeight="1">
      <c r="A9" s="8" t="n"/>
      <c r="B9" s="5" t="inlineStr">
        <is>
          <t>土</t>
        </is>
      </c>
      <c r="C9" s="6" t="inlineStr"/>
      <c r="D9" s="6" t="inlineStr"/>
      <c r="E9" s="6" t="inlineStr"/>
      <c r="F9" s="6" t="inlineStr"/>
      <c r="G9" s="7">
        <f>IF(AND(D9&lt;&gt;"",C9&lt;&gt;""),(D9-C9)-IF(AND(F9&lt;&gt;"",E9&lt;&gt;""),F9-E9,0),"")</f>
        <v/>
      </c>
    </row>
    <row r="10" ht="20" customHeight="1">
      <c r="A10" s="9" t="n"/>
      <c r="B10" s="10" t="inlineStr">
        <is>
          <t>日</t>
        </is>
      </c>
      <c r="C10" s="11" t="inlineStr"/>
      <c r="D10" s="11" t="inlineStr"/>
      <c r="E10" s="11" t="inlineStr"/>
      <c r="F10" s="11" t="inlineStr"/>
      <c r="G10" s="12">
        <f>IF(AND(D10&lt;&gt;"",C10&lt;&gt;""),(D10-C10)-IF(AND(F10&lt;&gt;"",E10&lt;&gt;""),F10-E10,0),"")</f>
        <v/>
      </c>
    </row>
    <row r="11" ht="20" customHeight="1">
      <c r="A11" s="4" t="inlineStr">
        <is>
          <t>小泉</t>
        </is>
      </c>
      <c r="B11" s="5" t="inlineStr">
        <is>
          <t>月</t>
        </is>
      </c>
      <c r="C11" s="6" t="inlineStr"/>
      <c r="D11" s="6" t="inlineStr"/>
      <c r="E11" s="6" t="inlineStr"/>
      <c r="F11" s="6" t="inlineStr"/>
      <c r="G11" s="7">
        <f>IF(AND(D11&lt;&gt;"",C11&lt;&gt;""),(D11-C11)-IF(AND(F11&lt;&gt;"",E11&lt;&gt;""),F11-E11,0),"")</f>
        <v/>
      </c>
    </row>
    <row r="12" ht="20" customHeight="1">
      <c r="A12" s="8" t="n"/>
      <c r="B12" s="5" t="inlineStr">
        <is>
          <t>火</t>
        </is>
      </c>
      <c r="C12" s="6" t="inlineStr"/>
      <c r="D12" s="6" t="inlineStr"/>
      <c r="E12" s="6" t="inlineStr"/>
      <c r="F12" s="6" t="inlineStr"/>
      <c r="G12" s="7">
        <f>IF(AND(D12&lt;&gt;"",C12&lt;&gt;""),(D12-C12)-IF(AND(F12&lt;&gt;"",E12&lt;&gt;""),F12-E12,0),"")</f>
        <v/>
      </c>
    </row>
    <row r="13" ht="20" customHeight="1">
      <c r="A13" s="8" t="n"/>
      <c r="B13" s="5" t="inlineStr">
        <is>
          <t>水</t>
        </is>
      </c>
      <c r="C13" s="6" t="inlineStr"/>
      <c r="D13" s="6" t="inlineStr"/>
      <c r="E13" s="6" t="inlineStr"/>
      <c r="F13" s="6" t="inlineStr"/>
      <c r="G13" s="7">
        <f>IF(AND(D13&lt;&gt;"",C13&lt;&gt;""),(D13-C13)-IF(AND(F13&lt;&gt;"",E13&lt;&gt;""),F13-E13,0),"")</f>
        <v/>
      </c>
    </row>
    <row r="14" ht="20" customHeight="1">
      <c r="A14" s="8" t="n"/>
      <c r="B14" s="5" t="inlineStr">
        <is>
          <t>木</t>
        </is>
      </c>
      <c r="C14" s="6" t="inlineStr"/>
      <c r="D14" s="6" t="inlineStr"/>
      <c r="E14" s="6" t="inlineStr"/>
      <c r="F14" s="6" t="inlineStr"/>
      <c r="G14" s="7">
        <f>IF(AND(D14&lt;&gt;"",C14&lt;&gt;""),(D14-C14)-IF(AND(F14&lt;&gt;"",E14&lt;&gt;""),F14-E14,0),"")</f>
        <v/>
      </c>
    </row>
    <row r="15" ht="20" customHeight="1">
      <c r="A15" s="8" t="n"/>
      <c r="B15" s="5" t="inlineStr">
        <is>
          <t>金</t>
        </is>
      </c>
      <c r="C15" s="6" t="inlineStr"/>
      <c r="D15" s="6" t="inlineStr"/>
      <c r="E15" s="6" t="inlineStr"/>
      <c r="F15" s="6" t="inlineStr"/>
      <c r="G15" s="7">
        <f>IF(AND(D15&lt;&gt;"",C15&lt;&gt;""),(D15-C15)-IF(AND(F15&lt;&gt;"",E15&lt;&gt;""),F15-E15,0),"")</f>
        <v/>
      </c>
    </row>
    <row r="16" ht="20" customHeight="1">
      <c r="A16" s="8" t="n"/>
      <c r="B16" s="5" t="inlineStr">
        <is>
          <t>土</t>
        </is>
      </c>
      <c r="C16" s="6" t="inlineStr"/>
      <c r="D16" s="6" t="inlineStr"/>
      <c r="E16" s="6" t="inlineStr"/>
      <c r="F16" s="6" t="inlineStr"/>
      <c r="G16" s="7">
        <f>IF(AND(D16&lt;&gt;"",C16&lt;&gt;""),(D16-C16)-IF(AND(F16&lt;&gt;"",E16&lt;&gt;""),F16-E16,0),"")</f>
        <v/>
      </c>
    </row>
    <row r="17" ht="20" customHeight="1">
      <c r="A17" s="9" t="n"/>
      <c r="B17" s="10" t="inlineStr">
        <is>
          <t>日</t>
        </is>
      </c>
      <c r="C17" s="11" t="inlineStr"/>
      <c r="D17" s="11" t="inlineStr"/>
      <c r="E17" s="11" t="inlineStr"/>
      <c r="F17" s="11" t="inlineStr"/>
      <c r="G17" s="12">
        <f>IF(AND(D17&lt;&gt;"",C17&lt;&gt;""),(D17-C17)-IF(AND(F17&lt;&gt;"",E17&lt;&gt;""),F17-E17,0),"")</f>
        <v/>
      </c>
    </row>
    <row r="18" ht="20" customHeight="1">
      <c r="A18" s="4" t="inlineStr">
        <is>
          <t>伊藤</t>
        </is>
      </c>
      <c r="B18" s="5" t="inlineStr">
        <is>
          <t>月</t>
        </is>
      </c>
      <c r="C18" s="6" t="inlineStr"/>
      <c r="D18" s="6" t="inlineStr"/>
      <c r="E18" s="6" t="inlineStr"/>
      <c r="F18" s="6" t="inlineStr"/>
      <c r="G18" s="7">
        <f>IF(AND(D18&lt;&gt;"",C18&lt;&gt;""),(D18-C18)-IF(AND(F18&lt;&gt;"",E18&lt;&gt;""),F18-E18,0),"")</f>
        <v/>
      </c>
    </row>
    <row r="19" ht="20" customHeight="1">
      <c r="A19" s="8" t="n"/>
      <c r="B19" s="5" t="inlineStr">
        <is>
          <t>火</t>
        </is>
      </c>
      <c r="C19" s="6" t="inlineStr"/>
      <c r="D19" s="6" t="inlineStr"/>
      <c r="E19" s="6" t="inlineStr"/>
      <c r="F19" s="6" t="inlineStr"/>
      <c r="G19" s="7">
        <f>IF(AND(D19&lt;&gt;"",C19&lt;&gt;""),(D19-C19)-IF(AND(F19&lt;&gt;"",E19&lt;&gt;""),F19-E19,0),"")</f>
        <v/>
      </c>
    </row>
    <row r="20" ht="20" customHeight="1">
      <c r="A20" s="8" t="n"/>
      <c r="B20" s="5" t="inlineStr">
        <is>
          <t>水</t>
        </is>
      </c>
      <c r="C20" s="6" t="inlineStr"/>
      <c r="D20" s="6" t="inlineStr"/>
      <c r="E20" s="6" t="inlineStr"/>
      <c r="F20" s="6" t="inlineStr"/>
      <c r="G20" s="7">
        <f>IF(AND(D20&lt;&gt;"",C20&lt;&gt;""),(D20-C20)-IF(AND(F20&lt;&gt;"",E20&lt;&gt;""),F20-E20,0),"")</f>
        <v/>
      </c>
    </row>
    <row r="21" ht="20" customHeight="1">
      <c r="A21" s="8" t="n"/>
      <c r="B21" s="5" t="inlineStr">
        <is>
          <t>木</t>
        </is>
      </c>
      <c r="C21" s="6" t="inlineStr"/>
      <c r="D21" s="6" t="inlineStr"/>
      <c r="E21" s="6" t="inlineStr"/>
      <c r="F21" s="6" t="inlineStr"/>
      <c r="G21" s="7">
        <f>IF(AND(D21&lt;&gt;"",C21&lt;&gt;""),(D21-C21)-IF(AND(F21&lt;&gt;"",E21&lt;&gt;""),F21-E21,0),"")</f>
        <v/>
      </c>
    </row>
    <row r="22" ht="20" customHeight="1">
      <c r="A22" s="8" t="n"/>
      <c r="B22" s="5" t="inlineStr">
        <is>
          <t>金</t>
        </is>
      </c>
      <c r="C22" s="6" t="inlineStr"/>
      <c r="D22" s="6" t="inlineStr"/>
      <c r="E22" s="6" t="inlineStr"/>
      <c r="F22" s="6" t="inlineStr"/>
      <c r="G22" s="7">
        <f>IF(AND(D22&lt;&gt;"",C22&lt;&gt;""),(D22-C22)-IF(AND(F22&lt;&gt;"",E22&lt;&gt;""),F22-E22,0),"")</f>
        <v/>
      </c>
    </row>
    <row r="23" ht="20" customHeight="1">
      <c r="A23" s="8" t="n"/>
      <c r="B23" s="5" t="inlineStr">
        <is>
          <t>土</t>
        </is>
      </c>
      <c r="C23" s="6" t="inlineStr"/>
      <c r="D23" s="6" t="inlineStr"/>
      <c r="E23" s="6" t="inlineStr"/>
      <c r="F23" s="6" t="inlineStr"/>
      <c r="G23" s="7">
        <f>IF(AND(D23&lt;&gt;"",C23&lt;&gt;""),(D23-C23)-IF(AND(F23&lt;&gt;"",E23&lt;&gt;""),F23-E23,0),"")</f>
        <v/>
      </c>
    </row>
    <row r="24" ht="20" customHeight="1">
      <c r="A24" s="9" t="n"/>
      <c r="B24" s="10" t="inlineStr">
        <is>
          <t>日</t>
        </is>
      </c>
      <c r="C24" s="11" t="inlineStr"/>
      <c r="D24" s="11" t="inlineStr"/>
      <c r="E24" s="11" t="inlineStr"/>
      <c r="F24" s="11" t="inlineStr"/>
      <c r="G24" s="12">
        <f>IF(AND(D24&lt;&gt;"",C24&lt;&gt;""),(D24-C24)-IF(AND(F24&lt;&gt;"",E24&lt;&gt;""),F24-E24,0),"")</f>
        <v/>
      </c>
    </row>
  </sheetData>
  <mergeCells count="5">
    <mergeCell ref="A4:A10"/>
    <mergeCell ref="A2:R2"/>
    <mergeCell ref="A1:R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 ht="30" customHeight="1">
      <c r="A1" s="1" t="inlineStr">
        <is>
          <t>シフト表 - ビジュアライズ</t>
        </is>
      </c>
    </row>
    <row r="2" ht="18" customHeight="1">
      <c r="A2" s="2" t="inlineStr">
        <is>
          <t>※ 時間編集シートに入力した内容が自動反映されます。勤務時間帯はオレンジ、中抜けはグレーで表示されます。</t>
        </is>
      </c>
    </row>
    <row r="3" ht="22" customHeight="1">
      <c r="A3" s="3" t="inlineStr">
        <is>
          <t>スタッフ</t>
        </is>
      </c>
      <c r="B3" s="3" t="inlineStr">
        <is>
          <t>曜日</t>
        </is>
      </c>
      <c r="C3" s="13" t="inlineStr">
        <is>
          <t>8:00</t>
        </is>
      </c>
      <c r="D3" s="13" t="inlineStr">
        <is>
          <t>8:30</t>
        </is>
      </c>
      <c r="E3" s="13" t="inlineStr">
        <is>
          <t>9:00</t>
        </is>
      </c>
      <c r="F3" s="13" t="inlineStr">
        <is>
          <t>9:30</t>
        </is>
      </c>
      <c r="G3" s="13" t="inlineStr">
        <is>
          <t>10:00</t>
        </is>
      </c>
      <c r="H3" s="13" t="inlineStr">
        <is>
          <t>10:30</t>
        </is>
      </c>
      <c r="I3" s="13" t="inlineStr">
        <is>
          <t>11:00</t>
        </is>
      </c>
      <c r="J3" s="13" t="inlineStr">
        <is>
          <t>11:30</t>
        </is>
      </c>
      <c r="K3" s="13" t="inlineStr">
        <is>
          <t>12:00</t>
        </is>
      </c>
      <c r="L3" s="13" t="inlineStr">
        <is>
          <t>12:30</t>
        </is>
      </c>
      <c r="M3" s="13" t="inlineStr">
        <is>
          <t>13:00</t>
        </is>
      </c>
      <c r="N3" s="13" t="inlineStr">
        <is>
          <t>13:30</t>
        </is>
      </c>
      <c r="O3" s="13" t="inlineStr">
        <is>
          <t>14:00</t>
        </is>
      </c>
      <c r="P3" s="13" t="inlineStr">
        <is>
          <t>14:30</t>
        </is>
      </c>
      <c r="Q3" s="13" t="inlineStr">
        <is>
          <t>15:00</t>
        </is>
      </c>
      <c r="R3" s="13" t="inlineStr">
        <is>
          <t>15:30</t>
        </is>
      </c>
      <c r="S3" s="13" t="inlineStr">
        <is>
          <t>16:00</t>
        </is>
      </c>
      <c r="T3" s="13" t="inlineStr">
        <is>
          <t>16:30</t>
        </is>
      </c>
      <c r="U3" s="13" t="inlineStr">
        <is>
          <t>17:00</t>
        </is>
      </c>
      <c r="V3" s="13" t="inlineStr">
        <is>
          <t>17:30</t>
        </is>
      </c>
      <c r="W3" s="13" t="inlineStr">
        <is>
          <t>18:00</t>
        </is>
      </c>
      <c r="X3" s="13" t="inlineStr">
        <is>
          <t>18:30</t>
        </is>
      </c>
      <c r="Y3" s="13" t="inlineStr">
        <is>
          <t>19:00</t>
        </is>
      </c>
    </row>
    <row r="4" ht="18" customHeight="1">
      <c r="A4" s="4" t="inlineStr">
        <is>
          <t>石渡</t>
        </is>
      </c>
      <c r="B4" s="5" t="inlineStr">
        <is>
          <t>月</t>
        </is>
      </c>
      <c r="C4" s="14">
        <f>IF(AND(時間編集!C4&lt;&gt;"",時間編集!D4&lt;&gt;""),IF(AND(時間編集!E4&lt;&gt;"",時間編集!F4&lt;&gt;"",時間編集!E4&lt;=0.3333333333333333,時間編集!F4&gt;=0.3541666666666667),"中抜",IF(AND(時間編集!C4&lt;=0.3333333333333333,時間編集!D4&gt;=0.3541666666666667),"●","")),"")</f>
        <v/>
      </c>
      <c r="D4" s="14">
        <f>IF(AND(時間編集!C4&lt;&gt;"",時間編集!D4&lt;&gt;""),IF(AND(時間編集!E4&lt;&gt;"",時間編集!F4&lt;&gt;"",時間編集!E4&lt;=0.3541666666666667,時間編集!F4&gt;=0.375),"中抜",IF(AND(時間編集!C4&lt;=0.3541666666666667,時間編集!D4&gt;=0.375),"●","")),"")</f>
        <v/>
      </c>
      <c r="E4" s="14">
        <f>IF(AND(時間編集!C4&lt;&gt;"",時間編集!D4&lt;&gt;""),IF(AND(時間編集!E4&lt;&gt;"",時間編集!F4&lt;&gt;"",時間編集!E4&lt;=0.375,時間編集!F4&gt;=0.3958333333333333),"中抜",IF(AND(時間編集!C4&lt;=0.375,時間編集!D4&gt;=0.3958333333333333),"●","")),"")</f>
        <v/>
      </c>
      <c r="F4" s="14">
        <f>IF(AND(時間編集!C4&lt;&gt;"",時間編集!D4&lt;&gt;""),IF(AND(時間編集!E4&lt;&gt;"",時間編集!F4&lt;&gt;"",時間編集!E4&lt;=0.3958333333333333,時間編集!F4&gt;=0.4166666666666667),"中抜",IF(AND(時間編集!C4&lt;=0.3958333333333333,時間編集!D4&gt;=0.4166666666666667),"●","")),"")</f>
        <v/>
      </c>
      <c r="G4" s="14">
        <f>IF(AND(時間編集!C4&lt;&gt;"",時間編集!D4&lt;&gt;""),IF(AND(時間編集!E4&lt;&gt;"",時間編集!F4&lt;&gt;"",時間編集!E4&lt;=0.4166666666666667,時間編集!F4&gt;=0.4375),"中抜",IF(AND(時間編集!C4&lt;=0.4166666666666667,時間編集!D4&gt;=0.4375),"●","")),"")</f>
        <v/>
      </c>
      <c r="H4" s="14">
        <f>IF(AND(時間編集!C4&lt;&gt;"",時間編集!D4&lt;&gt;""),IF(AND(時間編集!E4&lt;&gt;"",時間編集!F4&lt;&gt;"",時間編集!E4&lt;=0.4375,時間編集!F4&gt;=0.4583333333333333),"中抜",IF(AND(時間編集!C4&lt;=0.4375,時間編集!D4&gt;=0.4583333333333333),"●","")),"")</f>
        <v/>
      </c>
      <c r="I4" s="14">
        <f>IF(AND(時間編集!C4&lt;&gt;"",時間編集!D4&lt;&gt;""),IF(AND(時間編集!E4&lt;&gt;"",時間編集!F4&lt;&gt;"",時間編集!E4&lt;=0.4583333333333333,時間編集!F4&gt;=0.4791666666666667),"中抜",IF(AND(時間編集!C4&lt;=0.4583333333333333,時間編集!D4&gt;=0.4791666666666667),"●","")),"")</f>
        <v/>
      </c>
      <c r="J4" s="14">
        <f>IF(AND(時間編集!C4&lt;&gt;"",時間編集!D4&lt;&gt;""),IF(AND(時間編集!E4&lt;&gt;"",時間編集!F4&lt;&gt;"",時間編集!E4&lt;=0.4791666666666667,時間編集!F4&gt;=0.5),"中抜",IF(AND(時間編集!C4&lt;=0.4791666666666667,時間編集!D4&gt;=0.5),"●","")),"")</f>
        <v/>
      </c>
      <c r="K4" s="14">
        <f>IF(AND(時間編集!C4&lt;&gt;"",時間編集!D4&lt;&gt;""),IF(AND(時間編集!E4&lt;&gt;"",時間編集!F4&lt;&gt;"",時間編集!E4&lt;=0.5,時間編集!F4&gt;=0.5208333333333334),"中抜",IF(AND(時間編集!C4&lt;=0.5,時間編集!D4&gt;=0.5208333333333334),"●","")),"")</f>
        <v/>
      </c>
      <c r="L4" s="14">
        <f>IF(AND(時間編集!C4&lt;&gt;"",時間編集!D4&lt;&gt;""),IF(AND(時間編集!E4&lt;&gt;"",時間編集!F4&lt;&gt;"",時間編集!E4&lt;=0.5208333333333334,時間編集!F4&gt;=0.5416666666666666),"中抜",IF(AND(時間編集!C4&lt;=0.5208333333333334,時間編集!D4&gt;=0.5416666666666666),"●","")),"")</f>
        <v/>
      </c>
      <c r="M4" s="14">
        <f>IF(AND(時間編集!C4&lt;&gt;"",時間編集!D4&lt;&gt;""),IF(AND(時間編集!E4&lt;&gt;"",時間編集!F4&lt;&gt;"",時間編集!E4&lt;=0.5416666666666666,時間編集!F4&gt;=0.5625),"中抜",IF(AND(時間編集!C4&lt;=0.5416666666666666,時間編集!D4&gt;=0.5625),"●","")),"")</f>
        <v/>
      </c>
      <c r="N4" s="14">
        <f>IF(AND(時間編集!C4&lt;&gt;"",時間編集!D4&lt;&gt;""),IF(AND(時間編集!E4&lt;&gt;"",時間編集!F4&lt;&gt;"",時間編集!E4&lt;=0.5625,時間編集!F4&gt;=0.5833333333333334),"中抜",IF(AND(時間編集!C4&lt;=0.5625,時間編集!D4&gt;=0.5833333333333334),"●","")),"")</f>
        <v/>
      </c>
      <c r="O4" s="14">
        <f>IF(AND(時間編集!C4&lt;&gt;"",時間編集!D4&lt;&gt;""),IF(AND(時間編集!E4&lt;&gt;"",時間編集!F4&lt;&gt;"",時間編集!E4&lt;=0.5833333333333334,時間編集!F4&gt;=0.6041666666666666),"中抜",IF(AND(時間編集!C4&lt;=0.5833333333333334,時間編集!D4&gt;=0.6041666666666666),"●","")),"")</f>
        <v/>
      </c>
      <c r="P4" s="14">
        <f>IF(AND(時間編集!C4&lt;&gt;"",時間編集!D4&lt;&gt;""),IF(AND(時間編集!E4&lt;&gt;"",時間編集!F4&lt;&gt;"",時間編集!E4&lt;=0.6041666666666666,時間編集!F4&gt;=0.625),"中抜",IF(AND(時間編集!C4&lt;=0.6041666666666666,時間編集!D4&gt;=0.625),"●","")),"")</f>
        <v/>
      </c>
      <c r="Q4" s="14">
        <f>IF(AND(時間編集!C4&lt;&gt;"",時間編集!D4&lt;&gt;""),IF(AND(時間編集!E4&lt;&gt;"",時間編集!F4&lt;&gt;"",時間編集!E4&lt;=0.625,時間編集!F4&gt;=0.6458333333333334),"中抜",IF(AND(時間編集!C4&lt;=0.625,時間編集!D4&gt;=0.6458333333333334),"●","")),"")</f>
        <v/>
      </c>
      <c r="R4" s="14">
        <f>IF(AND(時間編集!C4&lt;&gt;"",時間編集!D4&lt;&gt;""),IF(AND(時間編集!E4&lt;&gt;"",時間編集!F4&lt;&gt;"",時間編集!E4&lt;=0.6458333333333334,時間編集!F4&gt;=0.6666666666666666),"中抜",IF(AND(時間編集!C4&lt;=0.6458333333333334,時間編集!D4&gt;=0.6666666666666666),"●","")),"")</f>
        <v/>
      </c>
      <c r="S4" s="14">
        <f>IF(AND(時間編集!C4&lt;&gt;"",時間編集!D4&lt;&gt;""),IF(AND(時間編集!E4&lt;&gt;"",時間編集!F4&lt;&gt;"",時間編集!E4&lt;=0.6666666666666666,時間編集!F4&gt;=0.6875),"中抜",IF(AND(時間編集!C4&lt;=0.6666666666666666,時間編集!D4&gt;=0.6875),"●","")),"")</f>
        <v/>
      </c>
      <c r="T4" s="14">
        <f>IF(AND(時間編集!C4&lt;&gt;"",時間編集!D4&lt;&gt;""),IF(AND(時間編集!E4&lt;&gt;"",時間編集!F4&lt;&gt;"",時間編集!E4&lt;=0.6875,時間編集!F4&gt;=0.7083333333333334),"中抜",IF(AND(時間編集!C4&lt;=0.6875,時間編集!D4&gt;=0.7083333333333334),"●","")),"")</f>
        <v/>
      </c>
      <c r="U4" s="14">
        <f>IF(AND(時間編集!C4&lt;&gt;"",時間編集!D4&lt;&gt;""),IF(AND(時間編集!E4&lt;&gt;"",時間編集!F4&lt;&gt;"",時間編集!E4&lt;=0.7083333333333334,時間編集!F4&gt;=0.7291666666666666),"中抜",IF(AND(時間編集!C4&lt;=0.7083333333333334,時間編集!D4&gt;=0.7291666666666666),"●","")),"")</f>
        <v/>
      </c>
      <c r="V4" s="14">
        <f>IF(AND(時間編集!C4&lt;&gt;"",時間編集!D4&lt;&gt;""),IF(AND(時間編集!E4&lt;&gt;"",時間編集!F4&lt;&gt;"",時間編集!E4&lt;=0.7291666666666666,時間編集!F4&gt;=0.75),"中抜",IF(AND(時間編集!C4&lt;=0.7291666666666666,時間編集!D4&gt;=0.75),"●","")),"")</f>
        <v/>
      </c>
      <c r="W4" s="14">
        <f>IF(AND(時間編集!C4&lt;&gt;"",時間編集!D4&lt;&gt;""),IF(AND(時間編集!E4&lt;&gt;"",時間編集!F4&lt;&gt;"",時間編集!E4&lt;=0.75,時間編集!F4&gt;=0.7708333333333334),"中抜",IF(AND(時間編集!C4&lt;=0.75,時間編集!D4&gt;=0.7708333333333334),"●","")),"")</f>
        <v/>
      </c>
      <c r="X4" s="14">
        <f>IF(AND(時間編集!C4&lt;&gt;"",時間編集!D4&lt;&gt;""),IF(AND(時間編集!E4&lt;&gt;"",時間編集!F4&lt;&gt;"",時間編集!E4&lt;=0.7708333333333334,時間編集!F4&gt;=0.7916666666666666),"中抜",IF(AND(時間編集!C4&lt;=0.7708333333333334,時間編集!D4&gt;=0.7916666666666666),"●","")),"")</f>
        <v/>
      </c>
    </row>
    <row r="5" ht="18" customHeight="1">
      <c r="A5" s="8" t="n"/>
      <c r="B5" s="5" t="inlineStr">
        <is>
          <t>火</t>
        </is>
      </c>
      <c r="C5" s="14">
        <f>IF(AND(時間編集!C5&lt;&gt;"",時間編集!D5&lt;&gt;""),IF(AND(時間編集!E5&lt;&gt;"",時間編集!F5&lt;&gt;"",時間編集!E5&lt;=0.3333333333333333,時間編集!F5&gt;=0.3541666666666667),"中抜",IF(AND(時間編集!C5&lt;=0.3333333333333333,時間編集!D5&gt;=0.3541666666666667),"●","")),"")</f>
        <v/>
      </c>
      <c r="D5" s="14">
        <f>IF(AND(時間編集!C5&lt;&gt;"",時間編集!D5&lt;&gt;""),IF(AND(時間編集!E5&lt;&gt;"",時間編集!F5&lt;&gt;"",時間編集!E5&lt;=0.3541666666666667,時間編集!F5&gt;=0.375),"中抜",IF(AND(時間編集!C5&lt;=0.3541666666666667,時間編集!D5&gt;=0.375),"●","")),"")</f>
        <v/>
      </c>
      <c r="E5" s="14">
        <f>IF(AND(時間編集!C5&lt;&gt;"",時間編集!D5&lt;&gt;""),IF(AND(時間編集!E5&lt;&gt;"",時間編集!F5&lt;&gt;"",時間編集!E5&lt;=0.375,時間編集!F5&gt;=0.3958333333333333),"中抜",IF(AND(時間編集!C5&lt;=0.375,時間編集!D5&gt;=0.3958333333333333),"●","")),"")</f>
        <v/>
      </c>
      <c r="F5" s="14">
        <f>IF(AND(時間編集!C5&lt;&gt;"",時間編集!D5&lt;&gt;""),IF(AND(時間編集!E5&lt;&gt;"",時間編集!F5&lt;&gt;"",時間編集!E5&lt;=0.3958333333333333,時間編集!F5&gt;=0.4166666666666667),"中抜",IF(AND(時間編集!C5&lt;=0.3958333333333333,時間編集!D5&gt;=0.4166666666666667),"●","")),"")</f>
        <v/>
      </c>
      <c r="G5" s="14">
        <f>IF(AND(時間編集!C5&lt;&gt;"",時間編集!D5&lt;&gt;""),IF(AND(時間編集!E5&lt;&gt;"",時間編集!F5&lt;&gt;"",時間編集!E5&lt;=0.4166666666666667,時間編集!F5&gt;=0.4375),"中抜",IF(AND(時間編集!C5&lt;=0.4166666666666667,時間編集!D5&gt;=0.4375),"●","")),"")</f>
        <v/>
      </c>
      <c r="H5" s="14">
        <f>IF(AND(時間編集!C5&lt;&gt;"",時間編集!D5&lt;&gt;""),IF(AND(時間編集!E5&lt;&gt;"",時間編集!F5&lt;&gt;"",時間編集!E5&lt;=0.4375,時間編集!F5&gt;=0.4583333333333333),"中抜",IF(AND(時間編集!C5&lt;=0.4375,時間編集!D5&gt;=0.4583333333333333),"●","")),"")</f>
        <v/>
      </c>
      <c r="I5" s="14">
        <f>IF(AND(時間編集!C5&lt;&gt;"",時間編集!D5&lt;&gt;""),IF(AND(時間編集!E5&lt;&gt;"",時間編集!F5&lt;&gt;"",時間編集!E5&lt;=0.4583333333333333,時間編集!F5&gt;=0.4791666666666667),"中抜",IF(AND(時間編集!C5&lt;=0.4583333333333333,時間編集!D5&gt;=0.4791666666666667),"●","")),"")</f>
        <v/>
      </c>
      <c r="J5" s="14">
        <f>IF(AND(時間編集!C5&lt;&gt;"",時間編集!D5&lt;&gt;""),IF(AND(時間編集!E5&lt;&gt;"",時間編集!F5&lt;&gt;"",時間編集!E5&lt;=0.4791666666666667,時間編集!F5&gt;=0.5),"中抜",IF(AND(時間編集!C5&lt;=0.4791666666666667,時間編集!D5&gt;=0.5),"●","")),"")</f>
        <v/>
      </c>
      <c r="K5" s="14">
        <f>IF(AND(時間編集!C5&lt;&gt;"",時間編集!D5&lt;&gt;""),IF(AND(時間編集!E5&lt;&gt;"",時間編集!F5&lt;&gt;"",時間編集!E5&lt;=0.5,時間編集!F5&gt;=0.5208333333333334),"中抜",IF(AND(時間編集!C5&lt;=0.5,時間編集!D5&gt;=0.5208333333333334),"●","")),"")</f>
        <v/>
      </c>
      <c r="L5" s="14">
        <f>IF(AND(時間編集!C5&lt;&gt;"",時間編集!D5&lt;&gt;""),IF(AND(時間編集!E5&lt;&gt;"",時間編集!F5&lt;&gt;"",時間編集!E5&lt;=0.5208333333333334,時間編集!F5&gt;=0.5416666666666666),"中抜",IF(AND(時間編集!C5&lt;=0.5208333333333334,時間編集!D5&gt;=0.5416666666666666),"●","")),"")</f>
        <v/>
      </c>
      <c r="M5" s="14">
        <f>IF(AND(時間編集!C5&lt;&gt;"",時間編集!D5&lt;&gt;""),IF(AND(時間編集!E5&lt;&gt;"",時間編集!F5&lt;&gt;"",時間編集!E5&lt;=0.5416666666666666,時間編集!F5&gt;=0.5625),"中抜",IF(AND(時間編集!C5&lt;=0.5416666666666666,時間編集!D5&gt;=0.5625),"●","")),"")</f>
        <v/>
      </c>
      <c r="N5" s="14">
        <f>IF(AND(時間編集!C5&lt;&gt;"",時間編集!D5&lt;&gt;""),IF(AND(時間編集!E5&lt;&gt;"",時間編集!F5&lt;&gt;"",時間編集!E5&lt;=0.5625,時間編集!F5&gt;=0.5833333333333334),"中抜",IF(AND(時間編集!C5&lt;=0.5625,時間編集!D5&gt;=0.5833333333333334),"●","")),"")</f>
        <v/>
      </c>
      <c r="O5" s="14">
        <f>IF(AND(時間編集!C5&lt;&gt;"",時間編集!D5&lt;&gt;""),IF(AND(時間編集!E5&lt;&gt;"",時間編集!F5&lt;&gt;"",時間編集!E5&lt;=0.5833333333333334,時間編集!F5&gt;=0.6041666666666666),"中抜",IF(AND(時間編集!C5&lt;=0.5833333333333334,時間編集!D5&gt;=0.6041666666666666),"●","")),"")</f>
        <v/>
      </c>
      <c r="P5" s="14">
        <f>IF(AND(時間編集!C5&lt;&gt;"",時間編集!D5&lt;&gt;""),IF(AND(時間編集!E5&lt;&gt;"",時間編集!F5&lt;&gt;"",時間編集!E5&lt;=0.6041666666666666,時間編集!F5&gt;=0.625),"中抜",IF(AND(時間編集!C5&lt;=0.6041666666666666,時間編集!D5&gt;=0.625),"●","")),"")</f>
        <v/>
      </c>
      <c r="Q5" s="14">
        <f>IF(AND(時間編集!C5&lt;&gt;"",時間編集!D5&lt;&gt;""),IF(AND(時間編集!E5&lt;&gt;"",時間編集!F5&lt;&gt;"",時間編集!E5&lt;=0.625,時間編集!F5&gt;=0.6458333333333334),"中抜",IF(AND(時間編集!C5&lt;=0.625,時間編集!D5&gt;=0.6458333333333334),"●","")),"")</f>
        <v/>
      </c>
      <c r="R5" s="14">
        <f>IF(AND(時間編集!C5&lt;&gt;"",時間編集!D5&lt;&gt;""),IF(AND(時間編集!E5&lt;&gt;"",時間編集!F5&lt;&gt;"",時間編集!E5&lt;=0.6458333333333334,時間編集!F5&gt;=0.6666666666666666),"中抜",IF(AND(時間編集!C5&lt;=0.6458333333333334,時間編集!D5&gt;=0.6666666666666666),"●","")),"")</f>
        <v/>
      </c>
      <c r="S5" s="14">
        <f>IF(AND(時間編集!C5&lt;&gt;"",時間編集!D5&lt;&gt;""),IF(AND(時間編集!E5&lt;&gt;"",時間編集!F5&lt;&gt;"",時間編集!E5&lt;=0.6666666666666666,時間編集!F5&gt;=0.6875),"中抜",IF(AND(時間編集!C5&lt;=0.6666666666666666,時間編集!D5&gt;=0.6875),"●","")),"")</f>
        <v/>
      </c>
      <c r="T5" s="14">
        <f>IF(AND(時間編集!C5&lt;&gt;"",時間編集!D5&lt;&gt;""),IF(AND(時間編集!E5&lt;&gt;"",時間編集!F5&lt;&gt;"",時間編集!E5&lt;=0.6875,時間編集!F5&gt;=0.7083333333333334),"中抜",IF(AND(時間編集!C5&lt;=0.6875,時間編集!D5&gt;=0.7083333333333334),"●","")),"")</f>
        <v/>
      </c>
      <c r="U5" s="14">
        <f>IF(AND(時間編集!C5&lt;&gt;"",時間編集!D5&lt;&gt;""),IF(AND(時間編集!E5&lt;&gt;"",時間編集!F5&lt;&gt;"",時間編集!E5&lt;=0.7083333333333334,時間編集!F5&gt;=0.7291666666666666),"中抜",IF(AND(時間編集!C5&lt;=0.7083333333333334,時間編集!D5&gt;=0.7291666666666666),"●","")),"")</f>
        <v/>
      </c>
      <c r="V5" s="14">
        <f>IF(AND(時間編集!C5&lt;&gt;"",時間編集!D5&lt;&gt;""),IF(AND(時間編集!E5&lt;&gt;"",時間編集!F5&lt;&gt;"",時間編集!E5&lt;=0.7291666666666666,時間編集!F5&gt;=0.75),"中抜",IF(AND(時間編集!C5&lt;=0.7291666666666666,時間編集!D5&gt;=0.75),"●","")),"")</f>
        <v/>
      </c>
      <c r="W5" s="14">
        <f>IF(AND(時間編集!C5&lt;&gt;"",時間編集!D5&lt;&gt;""),IF(AND(時間編集!E5&lt;&gt;"",時間編集!F5&lt;&gt;"",時間編集!E5&lt;=0.75,時間編集!F5&gt;=0.7708333333333334),"中抜",IF(AND(時間編集!C5&lt;=0.75,時間編集!D5&gt;=0.7708333333333334),"●","")),"")</f>
        <v/>
      </c>
      <c r="X5" s="14">
        <f>IF(AND(時間編集!C5&lt;&gt;"",時間編集!D5&lt;&gt;""),IF(AND(時間編集!E5&lt;&gt;"",時間編集!F5&lt;&gt;"",時間編集!E5&lt;=0.7708333333333334,時間編集!F5&gt;=0.7916666666666666),"中抜",IF(AND(時間編集!C5&lt;=0.7708333333333334,時間編集!D5&gt;=0.7916666666666666),"●","")),"")</f>
        <v/>
      </c>
    </row>
    <row r="6" ht="18" customHeight="1">
      <c r="A6" s="8" t="n"/>
      <c r="B6" s="5" t="inlineStr">
        <is>
          <t>水</t>
        </is>
      </c>
      <c r="C6" s="14">
        <f>IF(AND(時間編集!C6&lt;&gt;"",時間編集!D6&lt;&gt;""),IF(AND(時間編集!E6&lt;&gt;"",時間編集!F6&lt;&gt;"",時間編集!E6&lt;=0.3333333333333333,時間編集!F6&gt;=0.3541666666666667),"中抜",IF(AND(時間編集!C6&lt;=0.3333333333333333,時間編集!D6&gt;=0.3541666666666667),"●","")),"")</f>
        <v/>
      </c>
      <c r="D6" s="14">
        <f>IF(AND(時間編集!C6&lt;&gt;"",時間編集!D6&lt;&gt;""),IF(AND(時間編集!E6&lt;&gt;"",時間編集!F6&lt;&gt;"",時間編集!E6&lt;=0.3541666666666667,時間編集!F6&gt;=0.375),"中抜",IF(AND(時間編集!C6&lt;=0.3541666666666667,時間編集!D6&gt;=0.375),"●","")),"")</f>
        <v/>
      </c>
      <c r="E6" s="14">
        <f>IF(AND(時間編集!C6&lt;&gt;"",時間編集!D6&lt;&gt;""),IF(AND(時間編集!E6&lt;&gt;"",時間編集!F6&lt;&gt;"",時間編集!E6&lt;=0.375,時間編集!F6&gt;=0.3958333333333333),"中抜",IF(AND(時間編集!C6&lt;=0.375,時間編集!D6&gt;=0.3958333333333333),"●","")),"")</f>
        <v/>
      </c>
      <c r="F6" s="14">
        <f>IF(AND(時間編集!C6&lt;&gt;"",時間編集!D6&lt;&gt;""),IF(AND(時間編集!E6&lt;&gt;"",時間編集!F6&lt;&gt;"",時間編集!E6&lt;=0.3958333333333333,時間編集!F6&gt;=0.4166666666666667),"中抜",IF(AND(時間編集!C6&lt;=0.3958333333333333,時間編集!D6&gt;=0.4166666666666667),"●","")),"")</f>
        <v/>
      </c>
      <c r="G6" s="14">
        <f>IF(AND(時間編集!C6&lt;&gt;"",時間編集!D6&lt;&gt;""),IF(AND(時間編集!E6&lt;&gt;"",時間編集!F6&lt;&gt;"",時間編集!E6&lt;=0.4166666666666667,時間編集!F6&gt;=0.4375),"中抜",IF(AND(時間編集!C6&lt;=0.4166666666666667,時間編集!D6&gt;=0.4375),"●","")),"")</f>
        <v/>
      </c>
      <c r="H6" s="14">
        <f>IF(AND(時間編集!C6&lt;&gt;"",時間編集!D6&lt;&gt;""),IF(AND(時間編集!E6&lt;&gt;"",時間編集!F6&lt;&gt;"",時間編集!E6&lt;=0.4375,時間編集!F6&gt;=0.4583333333333333),"中抜",IF(AND(時間編集!C6&lt;=0.4375,時間編集!D6&gt;=0.4583333333333333),"●","")),"")</f>
        <v/>
      </c>
      <c r="I6" s="14">
        <f>IF(AND(時間編集!C6&lt;&gt;"",時間編集!D6&lt;&gt;""),IF(AND(時間編集!E6&lt;&gt;"",時間編集!F6&lt;&gt;"",時間編集!E6&lt;=0.4583333333333333,時間編集!F6&gt;=0.4791666666666667),"中抜",IF(AND(時間編集!C6&lt;=0.4583333333333333,時間編集!D6&gt;=0.4791666666666667),"●","")),"")</f>
        <v/>
      </c>
      <c r="J6" s="14">
        <f>IF(AND(時間編集!C6&lt;&gt;"",時間編集!D6&lt;&gt;""),IF(AND(時間編集!E6&lt;&gt;"",時間編集!F6&lt;&gt;"",時間編集!E6&lt;=0.4791666666666667,時間編集!F6&gt;=0.5),"中抜",IF(AND(時間編集!C6&lt;=0.4791666666666667,時間編集!D6&gt;=0.5),"●","")),"")</f>
        <v/>
      </c>
      <c r="K6" s="14">
        <f>IF(AND(時間編集!C6&lt;&gt;"",時間編集!D6&lt;&gt;""),IF(AND(時間編集!E6&lt;&gt;"",時間編集!F6&lt;&gt;"",時間編集!E6&lt;=0.5,時間編集!F6&gt;=0.5208333333333334),"中抜",IF(AND(時間編集!C6&lt;=0.5,時間編集!D6&gt;=0.5208333333333334),"●","")),"")</f>
        <v/>
      </c>
      <c r="L6" s="14">
        <f>IF(AND(時間編集!C6&lt;&gt;"",時間編集!D6&lt;&gt;""),IF(AND(時間編集!E6&lt;&gt;"",時間編集!F6&lt;&gt;"",時間編集!E6&lt;=0.5208333333333334,時間編集!F6&gt;=0.5416666666666666),"中抜",IF(AND(時間編集!C6&lt;=0.5208333333333334,時間編集!D6&gt;=0.5416666666666666),"●","")),"")</f>
        <v/>
      </c>
      <c r="M6" s="14">
        <f>IF(AND(時間編集!C6&lt;&gt;"",時間編集!D6&lt;&gt;""),IF(AND(時間編集!E6&lt;&gt;"",時間編集!F6&lt;&gt;"",時間編集!E6&lt;=0.5416666666666666,時間編集!F6&gt;=0.5625),"中抜",IF(AND(時間編集!C6&lt;=0.5416666666666666,時間編集!D6&gt;=0.5625),"●","")),"")</f>
        <v/>
      </c>
      <c r="N6" s="14">
        <f>IF(AND(時間編集!C6&lt;&gt;"",時間編集!D6&lt;&gt;""),IF(AND(時間編集!E6&lt;&gt;"",時間編集!F6&lt;&gt;"",時間編集!E6&lt;=0.5625,時間編集!F6&gt;=0.5833333333333334),"中抜",IF(AND(時間編集!C6&lt;=0.5625,時間編集!D6&gt;=0.5833333333333334),"●","")),"")</f>
        <v/>
      </c>
      <c r="O6" s="14">
        <f>IF(AND(時間編集!C6&lt;&gt;"",時間編集!D6&lt;&gt;""),IF(AND(時間編集!E6&lt;&gt;"",時間編集!F6&lt;&gt;"",時間編集!E6&lt;=0.5833333333333334,時間編集!F6&gt;=0.6041666666666666),"中抜",IF(AND(時間編集!C6&lt;=0.5833333333333334,時間編集!D6&gt;=0.6041666666666666),"●","")),"")</f>
        <v/>
      </c>
      <c r="P6" s="14">
        <f>IF(AND(時間編集!C6&lt;&gt;"",時間編集!D6&lt;&gt;""),IF(AND(時間編集!E6&lt;&gt;"",時間編集!F6&lt;&gt;"",時間編集!E6&lt;=0.6041666666666666,時間編集!F6&gt;=0.625),"中抜",IF(AND(時間編集!C6&lt;=0.6041666666666666,時間編集!D6&gt;=0.625),"●","")),"")</f>
        <v/>
      </c>
      <c r="Q6" s="14">
        <f>IF(AND(時間編集!C6&lt;&gt;"",時間編集!D6&lt;&gt;""),IF(AND(時間編集!E6&lt;&gt;"",時間編集!F6&lt;&gt;"",時間編集!E6&lt;=0.625,時間編集!F6&gt;=0.6458333333333334),"中抜",IF(AND(時間編集!C6&lt;=0.625,時間編集!D6&gt;=0.6458333333333334),"●","")),"")</f>
        <v/>
      </c>
      <c r="R6" s="14">
        <f>IF(AND(時間編集!C6&lt;&gt;"",時間編集!D6&lt;&gt;""),IF(AND(時間編集!E6&lt;&gt;"",時間編集!F6&lt;&gt;"",時間編集!E6&lt;=0.6458333333333334,時間編集!F6&gt;=0.6666666666666666),"中抜",IF(AND(時間編集!C6&lt;=0.6458333333333334,時間編集!D6&gt;=0.6666666666666666),"●","")),"")</f>
        <v/>
      </c>
      <c r="S6" s="14">
        <f>IF(AND(時間編集!C6&lt;&gt;"",時間編集!D6&lt;&gt;""),IF(AND(時間編集!E6&lt;&gt;"",時間編集!F6&lt;&gt;"",時間編集!E6&lt;=0.6666666666666666,時間編集!F6&gt;=0.6875),"中抜",IF(AND(時間編集!C6&lt;=0.6666666666666666,時間編集!D6&gt;=0.6875),"●","")),"")</f>
        <v/>
      </c>
      <c r="T6" s="14">
        <f>IF(AND(時間編集!C6&lt;&gt;"",時間編集!D6&lt;&gt;""),IF(AND(時間編集!E6&lt;&gt;"",時間編集!F6&lt;&gt;"",時間編集!E6&lt;=0.6875,時間編集!F6&gt;=0.7083333333333334),"中抜",IF(AND(時間編集!C6&lt;=0.6875,時間編集!D6&gt;=0.7083333333333334),"●","")),"")</f>
        <v/>
      </c>
      <c r="U6" s="14">
        <f>IF(AND(時間編集!C6&lt;&gt;"",時間編集!D6&lt;&gt;""),IF(AND(時間編集!E6&lt;&gt;"",時間編集!F6&lt;&gt;"",時間編集!E6&lt;=0.7083333333333334,時間編集!F6&gt;=0.7291666666666666),"中抜",IF(AND(時間編集!C6&lt;=0.7083333333333334,時間編集!D6&gt;=0.7291666666666666),"●","")),"")</f>
        <v/>
      </c>
      <c r="V6" s="14">
        <f>IF(AND(時間編集!C6&lt;&gt;"",時間編集!D6&lt;&gt;""),IF(AND(時間編集!E6&lt;&gt;"",時間編集!F6&lt;&gt;"",時間編集!E6&lt;=0.7291666666666666,時間編集!F6&gt;=0.75),"中抜",IF(AND(時間編集!C6&lt;=0.7291666666666666,時間編集!D6&gt;=0.75),"●","")),"")</f>
        <v/>
      </c>
      <c r="W6" s="14">
        <f>IF(AND(時間編集!C6&lt;&gt;"",時間編集!D6&lt;&gt;""),IF(AND(時間編集!E6&lt;&gt;"",時間編集!F6&lt;&gt;"",時間編集!E6&lt;=0.75,時間編集!F6&gt;=0.7708333333333334),"中抜",IF(AND(時間編集!C6&lt;=0.75,時間編集!D6&gt;=0.7708333333333334),"●","")),"")</f>
        <v/>
      </c>
      <c r="X6" s="14">
        <f>IF(AND(時間編集!C6&lt;&gt;"",時間編集!D6&lt;&gt;""),IF(AND(時間編集!E6&lt;&gt;"",時間編集!F6&lt;&gt;"",時間編集!E6&lt;=0.7708333333333334,時間編集!F6&gt;=0.7916666666666666),"中抜",IF(AND(時間編集!C6&lt;=0.7708333333333334,時間編集!D6&gt;=0.7916666666666666),"●","")),"")</f>
        <v/>
      </c>
    </row>
    <row r="7" ht="18" customHeight="1">
      <c r="A7" s="8" t="n"/>
      <c r="B7" s="5" t="inlineStr">
        <is>
          <t>木</t>
        </is>
      </c>
      <c r="C7" s="14">
        <f>IF(AND(時間編集!C7&lt;&gt;"",時間編集!D7&lt;&gt;""),IF(AND(時間編集!E7&lt;&gt;"",時間編集!F7&lt;&gt;"",時間編集!E7&lt;=0.3333333333333333,時間編集!F7&gt;=0.3541666666666667),"中抜",IF(AND(時間編集!C7&lt;=0.3333333333333333,時間編集!D7&gt;=0.3541666666666667),"●","")),"")</f>
        <v/>
      </c>
      <c r="D7" s="14">
        <f>IF(AND(時間編集!C7&lt;&gt;"",時間編集!D7&lt;&gt;""),IF(AND(時間編集!E7&lt;&gt;"",時間編集!F7&lt;&gt;"",時間編集!E7&lt;=0.3541666666666667,時間編集!F7&gt;=0.375),"中抜",IF(AND(時間編集!C7&lt;=0.3541666666666667,時間編集!D7&gt;=0.375),"●","")),"")</f>
        <v/>
      </c>
      <c r="E7" s="14">
        <f>IF(AND(時間編集!C7&lt;&gt;"",時間編集!D7&lt;&gt;""),IF(AND(時間編集!E7&lt;&gt;"",時間編集!F7&lt;&gt;"",時間編集!E7&lt;=0.375,時間編集!F7&gt;=0.3958333333333333),"中抜",IF(AND(時間編集!C7&lt;=0.375,時間編集!D7&gt;=0.3958333333333333),"●","")),"")</f>
        <v/>
      </c>
      <c r="F7" s="14">
        <f>IF(AND(時間編集!C7&lt;&gt;"",時間編集!D7&lt;&gt;""),IF(AND(時間編集!E7&lt;&gt;"",時間編集!F7&lt;&gt;"",時間編集!E7&lt;=0.3958333333333333,時間編集!F7&gt;=0.4166666666666667),"中抜",IF(AND(時間編集!C7&lt;=0.3958333333333333,時間編集!D7&gt;=0.4166666666666667),"●","")),"")</f>
        <v/>
      </c>
      <c r="G7" s="14">
        <f>IF(AND(時間編集!C7&lt;&gt;"",時間編集!D7&lt;&gt;""),IF(AND(時間編集!E7&lt;&gt;"",時間編集!F7&lt;&gt;"",時間編集!E7&lt;=0.4166666666666667,時間編集!F7&gt;=0.4375),"中抜",IF(AND(時間編集!C7&lt;=0.4166666666666667,時間編集!D7&gt;=0.4375),"●","")),"")</f>
        <v/>
      </c>
      <c r="H7" s="14">
        <f>IF(AND(時間編集!C7&lt;&gt;"",時間編集!D7&lt;&gt;""),IF(AND(時間編集!E7&lt;&gt;"",時間編集!F7&lt;&gt;"",時間編集!E7&lt;=0.4375,時間編集!F7&gt;=0.4583333333333333),"中抜",IF(AND(時間編集!C7&lt;=0.4375,時間編集!D7&gt;=0.4583333333333333),"●","")),"")</f>
        <v/>
      </c>
      <c r="I7" s="14">
        <f>IF(AND(時間編集!C7&lt;&gt;"",時間編集!D7&lt;&gt;""),IF(AND(時間編集!E7&lt;&gt;"",時間編集!F7&lt;&gt;"",時間編集!E7&lt;=0.4583333333333333,時間編集!F7&gt;=0.4791666666666667),"中抜",IF(AND(時間編集!C7&lt;=0.4583333333333333,時間編集!D7&gt;=0.4791666666666667),"●","")),"")</f>
        <v/>
      </c>
      <c r="J7" s="14">
        <f>IF(AND(時間編集!C7&lt;&gt;"",時間編集!D7&lt;&gt;""),IF(AND(時間編集!E7&lt;&gt;"",時間編集!F7&lt;&gt;"",時間編集!E7&lt;=0.4791666666666667,時間編集!F7&gt;=0.5),"中抜",IF(AND(時間編集!C7&lt;=0.4791666666666667,時間編集!D7&gt;=0.5),"●","")),"")</f>
        <v/>
      </c>
      <c r="K7" s="14">
        <f>IF(AND(時間編集!C7&lt;&gt;"",時間編集!D7&lt;&gt;""),IF(AND(時間編集!E7&lt;&gt;"",時間編集!F7&lt;&gt;"",時間編集!E7&lt;=0.5,時間編集!F7&gt;=0.5208333333333334),"中抜",IF(AND(時間編集!C7&lt;=0.5,時間編集!D7&gt;=0.5208333333333334),"●","")),"")</f>
        <v/>
      </c>
      <c r="L7" s="14">
        <f>IF(AND(時間編集!C7&lt;&gt;"",時間編集!D7&lt;&gt;""),IF(AND(時間編集!E7&lt;&gt;"",時間編集!F7&lt;&gt;"",時間編集!E7&lt;=0.5208333333333334,時間編集!F7&gt;=0.5416666666666666),"中抜",IF(AND(時間編集!C7&lt;=0.5208333333333334,時間編集!D7&gt;=0.5416666666666666),"●","")),"")</f>
        <v/>
      </c>
      <c r="M7" s="14">
        <f>IF(AND(時間編集!C7&lt;&gt;"",時間編集!D7&lt;&gt;""),IF(AND(時間編集!E7&lt;&gt;"",時間編集!F7&lt;&gt;"",時間編集!E7&lt;=0.5416666666666666,時間編集!F7&gt;=0.5625),"中抜",IF(AND(時間編集!C7&lt;=0.5416666666666666,時間編集!D7&gt;=0.5625),"●","")),"")</f>
        <v/>
      </c>
      <c r="N7" s="14">
        <f>IF(AND(時間編集!C7&lt;&gt;"",時間編集!D7&lt;&gt;""),IF(AND(時間編集!E7&lt;&gt;"",時間編集!F7&lt;&gt;"",時間編集!E7&lt;=0.5625,時間編集!F7&gt;=0.5833333333333334),"中抜",IF(AND(時間編集!C7&lt;=0.5625,時間編集!D7&gt;=0.5833333333333334),"●","")),"")</f>
        <v/>
      </c>
      <c r="O7" s="14">
        <f>IF(AND(時間編集!C7&lt;&gt;"",時間編集!D7&lt;&gt;""),IF(AND(時間編集!E7&lt;&gt;"",時間編集!F7&lt;&gt;"",時間編集!E7&lt;=0.5833333333333334,時間編集!F7&gt;=0.6041666666666666),"中抜",IF(AND(時間編集!C7&lt;=0.5833333333333334,時間編集!D7&gt;=0.6041666666666666),"●","")),"")</f>
        <v/>
      </c>
      <c r="P7" s="14">
        <f>IF(AND(時間編集!C7&lt;&gt;"",時間編集!D7&lt;&gt;""),IF(AND(時間編集!E7&lt;&gt;"",時間編集!F7&lt;&gt;"",時間編集!E7&lt;=0.6041666666666666,時間編集!F7&gt;=0.625),"中抜",IF(AND(時間編集!C7&lt;=0.6041666666666666,時間編集!D7&gt;=0.625),"●","")),"")</f>
        <v/>
      </c>
      <c r="Q7" s="14">
        <f>IF(AND(時間編集!C7&lt;&gt;"",時間編集!D7&lt;&gt;""),IF(AND(時間編集!E7&lt;&gt;"",時間編集!F7&lt;&gt;"",時間編集!E7&lt;=0.625,時間編集!F7&gt;=0.6458333333333334),"中抜",IF(AND(時間編集!C7&lt;=0.625,時間編集!D7&gt;=0.6458333333333334),"●","")),"")</f>
        <v/>
      </c>
      <c r="R7" s="14">
        <f>IF(AND(時間編集!C7&lt;&gt;"",時間編集!D7&lt;&gt;""),IF(AND(時間編集!E7&lt;&gt;"",時間編集!F7&lt;&gt;"",時間編集!E7&lt;=0.6458333333333334,時間編集!F7&gt;=0.6666666666666666),"中抜",IF(AND(時間編集!C7&lt;=0.6458333333333334,時間編集!D7&gt;=0.6666666666666666),"●","")),"")</f>
        <v/>
      </c>
      <c r="S7" s="14">
        <f>IF(AND(時間編集!C7&lt;&gt;"",時間編集!D7&lt;&gt;""),IF(AND(時間編集!E7&lt;&gt;"",時間編集!F7&lt;&gt;"",時間編集!E7&lt;=0.6666666666666666,時間編集!F7&gt;=0.6875),"中抜",IF(AND(時間編集!C7&lt;=0.6666666666666666,時間編集!D7&gt;=0.6875),"●","")),"")</f>
        <v/>
      </c>
      <c r="T7" s="14">
        <f>IF(AND(時間編集!C7&lt;&gt;"",時間編集!D7&lt;&gt;""),IF(AND(時間編集!E7&lt;&gt;"",時間編集!F7&lt;&gt;"",時間編集!E7&lt;=0.6875,時間編集!F7&gt;=0.7083333333333334),"中抜",IF(AND(時間編集!C7&lt;=0.6875,時間編集!D7&gt;=0.7083333333333334),"●","")),"")</f>
        <v/>
      </c>
      <c r="U7" s="14">
        <f>IF(AND(時間編集!C7&lt;&gt;"",時間編集!D7&lt;&gt;""),IF(AND(時間編集!E7&lt;&gt;"",時間編集!F7&lt;&gt;"",時間編集!E7&lt;=0.7083333333333334,時間編集!F7&gt;=0.7291666666666666),"中抜",IF(AND(時間編集!C7&lt;=0.7083333333333334,時間編集!D7&gt;=0.7291666666666666),"●","")),"")</f>
        <v/>
      </c>
      <c r="V7" s="14">
        <f>IF(AND(時間編集!C7&lt;&gt;"",時間編集!D7&lt;&gt;""),IF(AND(時間編集!E7&lt;&gt;"",時間編集!F7&lt;&gt;"",時間編集!E7&lt;=0.7291666666666666,時間編集!F7&gt;=0.75),"中抜",IF(AND(時間編集!C7&lt;=0.7291666666666666,時間編集!D7&gt;=0.75),"●","")),"")</f>
        <v/>
      </c>
      <c r="W7" s="14">
        <f>IF(AND(時間編集!C7&lt;&gt;"",時間編集!D7&lt;&gt;""),IF(AND(時間編集!E7&lt;&gt;"",時間編集!F7&lt;&gt;"",時間編集!E7&lt;=0.75,時間編集!F7&gt;=0.7708333333333334),"中抜",IF(AND(時間編集!C7&lt;=0.75,時間編集!D7&gt;=0.7708333333333334),"●","")),"")</f>
        <v/>
      </c>
      <c r="X7" s="14">
        <f>IF(AND(時間編集!C7&lt;&gt;"",時間編集!D7&lt;&gt;""),IF(AND(時間編集!E7&lt;&gt;"",時間編集!F7&lt;&gt;"",時間編集!E7&lt;=0.7708333333333334,時間編集!F7&gt;=0.7916666666666666),"中抜",IF(AND(時間編集!C7&lt;=0.7708333333333334,時間編集!D7&gt;=0.7916666666666666),"●","")),"")</f>
        <v/>
      </c>
    </row>
    <row r="8" ht="18" customHeight="1">
      <c r="A8" s="8" t="n"/>
      <c r="B8" s="5" t="inlineStr">
        <is>
          <t>金</t>
        </is>
      </c>
      <c r="C8" s="14">
        <f>IF(AND(時間編集!C8&lt;&gt;"",時間編集!D8&lt;&gt;""),IF(AND(時間編集!E8&lt;&gt;"",時間編集!F8&lt;&gt;"",時間編集!E8&lt;=0.3333333333333333,時間編集!F8&gt;=0.3541666666666667),"中抜",IF(AND(時間編集!C8&lt;=0.3333333333333333,時間編集!D8&gt;=0.3541666666666667),"●","")),"")</f>
        <v/>
      </c>
      <c r="D8" s="14">
        <f>IF(AND(時間編集!C8&lt;&gt;"",時間編集!D8&lt;&gt;""),IF(AND(時間編集!E8&lt;&gt;"",時間編集!F8&lt;&gt;"",時間編集!E8&lt;=0.3541666666666667,時間編集!F8&gt;=0.375),"中抜",IF(AND(時間編集!C8&lt;=0.3541666666666667,時間編集!D8&gt;=0.375),"●","")),"")</f>
        <v/>
      </c>
      <c r="E8" s="14">
        <f>IF(AND(時間編集!C8&lt;&gt;"",時間編集!D8&lt;&gt;""),IF(AND(時間編集!E8&lt;&gt;"",時間編集!F8&lt;&gt;"",時間編集!E8&lt;=0.375,時間編集!F8&gt;=0.3958333333333333),"中抜",IF(AND(時間編集!C8&lt;=0.375,時間編集!D8&gt;=0.3958333333333333),"●","")),"")</f>
        <v/>
      </c>
      <c r="F8" s="14">
        <f>IF(AND(時間編集!C8&lt;&gt;"",時間編集!D8&lt;&gt;""),IF(AND(時間編集!E8&lt;&gt;"",時間編集!F8&lt;&gt;"",時間編集!E8&lt;=0.3958333333333333,時間編集!F8&gt;=0.4166666666666667),"中抜",IF(AND(時間編集!C8&lt;=0.3958333333333333,時間編集!D8&gt;=0.4166666666666667),"●","")),"")</f>
        <v/>
      </c>
      <c r="G8" s="14">
        <f>IF(AND(時間編集!C8&lt;&gt;"",時間編集!D8&lt;&gt;""),IF(AND(時間編集!E8&lt;&gt;"",時間編集!F8&lt;&gt;"",時間編集!E8&lt;=0.4166666666666667,時間編集!F8&gt;=0.4375),"中抜",IF(AND(時間編集!C8&lt;=0.4166666666666667,時間編集!D8&gt;=0.4375),"●","")),"")</f>
        <v/>
      </c>
      <c r="H8" s="14">
        <f>IF(AND(時間編集!C8&lt;&gt;"",時間編集!D8&lt;&gt;""),IF(AND(時間編集!E8&lt;&gt;"",時間編集!F8&lt;&gt;"",時間編集!E8&lt;=0.4375,時間編集!F8&gt;=0.4583333333333333),"中抜",IF(AND(時間編集!C8&lt;=0.4375,時間編集!D8&gt;=0.4583333333333333),"●","")),"")</f>
        <v/>
      </c>
      <c r="I8" s="14">
        <f>IF(AND(時間編集!C8&lt;&gt;"",時間編集!D8&lt;&gt;""),IF(AND(時間編集!E8&lt;&gt;"",時間編集!F8&lt;&gt;"",時間編集!E8&lt;=0.4583333333333333,時間編集!F8&gt;=0.4791666666666667),"中抜",IF(AND(時間編集!C8&lt;=0.4583333333333333,時間編集!D8&gt;=0.4791666666666667),"●","")),"")</f>
        <v/>
      </c>
      <c r="J8" s="14">
        <f>IF(AND(時間編集!C8&lt;&gt;"",時間編集!D8&lt;&gt;""),IF(AND(時間編集!E8&lt;&gt;"",時間編集!F8&lt;&gt;"",時間編集!E8&lt;=0.4791666666666667,時間編集!F8&gt;=0.5),"中抜",IF(AND(時間編集!C8&lt;=0.4791666666666667,時間編集!D8&gt;=0.5),"●","")),"")</f>
        <v/>
      </c>
      <c r="K8" s="14">
        <f>IF(AND(時間編集!C8&lt;&gt;"",時間編集!D8&lt;&gt;""),IF(AND(時間編集!E8&lt;&gt;"",時間編集!F8&lt;&gt;"",時間編集!E8&lt;=0.5,時間編集!F8&gt;=0.5208333333333334),"中抜",IF(AND(時間編集!C8&lt;=0.5,時間編集!D8&gt;=0.5208333333333334),"●","")),"")</f>
        <v/>
      </c>
      <c r="L8" s="14">
        <f>IF(AND(時間編集!C8&lt;&gt;"",時間編集!D8&lt;&gt;""),IF(AND(時間編集!E8&lt;&gt;"",時間編集!F8&lt;&gt;"",時間編集!E8&lt;=0.5208333333333334,時間編集!F8&gt;=0.5416666666666666),"中抜",IF(AND(時間編集!C8&lt;=0.5208333333333334,時間編集!D8&gt;=0.5416666666666666),"●","")),"")</f>
        <v/>
      </c>
      <c r="M8" s="14">
        <f>IF(AND(時間編集!C8&lt;&gt;"",時間編集!D8&lt;&gt;""),IF(AND(時間編集!E8&lt;&gt;"",時間編集!F8&lt;&gt;"",時間編集!E8&lt;=0.5416666666666666,時間編集!F8&gt;=0.5625),"中抜",IF(AND(時間編集!C8&lt;=0.5416666666666666,時間編集!D8&gt;=0.5625),"●","")),"")</f>
        <v/>
      </c>
      <c r="N8" s="14">
        <f>IF(AND(時間編集!C8&lt;&gt;"",時間編集!D8&lt;&gt;""),IF(AND(時間編集!E8&lt;&gt;"",時間編集!F8&lt;&gt;"",時間編集!E8&lt;=0.5625,時間編集!F8&gt;=0.5833333333333334),"中抜",IF(AND(時間編集!C8&lt;=0.5625,時間編集!D8&gt;=0.5833333333333334),"●","")),"")</f>
        <v/>
      </c>
      <c r="O8" s="14">
        <f>IF(AND(時間編集!C8&lt;&gt;"",時間編集!D8&lt;&gt;""),IF(AND(時間編集!E8&lt;&gt;"",時間編集!F8&lt;&gt;"",時間編集!E8&lt;=0.5833333333333334,時間編集!F8&gt;=0.6041666666666666),"中抜",IF(AND(時間編集!C8&lt;=0.5833333333333334,時間編集!D8&gt;=0.6041666666666666),"●","")),"")</f>
        <v/>
      </c>
      <c r="P8" s="14">
        <f>IF(AND(時間編集!C8&lt;&gt;"",時間編集!D8&lt;&gt;""),IF(AND(時間編集!E8&lt;&gt;"",時間編集!F8&lt;&gt;"",時間編集!E8&lt;=0.6041666666666666,時間編集!F8&gt;=0.625),"中抜",IF(AND(時間編集!C8&lt;=0.6041666666666666,時間編集!D8&gt;=0.625),"●","")),"")</f>
        <v/>
      </c>
      <c r="Q8" s="14">
        <f>IF(AND(時間編集!C8&lt;&gt;"",時間編集!D8&lt;&gt;""),IF(AND(時間編集!E8&lt;&gt;"",時間編集!F8&lt;&gt;"",時間編集!E8&lt;=0.625,時間編集!F8&gt;=0.6458333333333334),"中抜",IF(AND(時間編集!C8&lt;=0.625,時間編集!D8&gt;=0.6458333333333334),"●","")),"")</f>
        <v/>
      </c>
      <c r="R8" s="14">
        <f>IF(AND(時間編集!C8&lt;&gt;"",時間編集!D8&lt;&gt;""),IF(AND(時間編集!E8&lt;&gt;"",時間編集!F8&lt;&gt;"",時間編集!E8&lt;=0.6458333333333334,時間編集!F8&gt;=0.6666666666666666),"中抜",IF(AND(時間編集!C8&lt;=0.6458333333333334,時間編集!D8&gt;=0.6666666666666666),"●","")),"")</f>
        <v/>
      </c>
      <c r="S8" s="14">
        <f>IF(AND(時間編集!C8&lt;&gt;"",時間編集!D8&lt;&gt;""),IF(AND(時間編集!E8&lt;&gt;"",時間編集!F8&lt;&gt;"",時間編集!E8&lt;=0.6666666666666666,時間編集!F8&gt;=0.6875),"中抜",IF(AND(時間編集!C8&lt;=0.6666666666666666,時間編集!D8&gt;=0.6875),"●","")),"")</f>
        <v/>
      </c>
      <c r="T8" s="14">
        <f>IF(AND(時間編集!C8&lt;&gt;"",時間編集!D8&lt;&gt;""),IF(AND(時間編集!E8&lt;&gt;"",時間編集!F8&lt;&gt;"",時間編集!E8&lt;=0.6875,時間編集!F8&gt;=0.7083333333333334),"中抜",IF(AND(時間編集!C8&lt;=0.6875,時間編集!D8&gt;=0.7083333333333334),"●","")),"")</f>
        <v/>
      </c>
      <c r="U8" s="14">
        <f>IF(AND(時間編集!C8&lt;&gt;"",時間編集!D8&lt;&gt;""),IF(AND(時間編集!E8&lt;&gt;"",時間編集!F8&lt;&gt;"",時間編集!E8&lt;=0.7083333333333334,時間編集!F8&gt;=0.7291666666666666),"中抜",IF(AND(時間編集!C8&lt;=0.7083333333333334,時間編集!D8&gt;=0.7291666666666666),"●","")),"")</f>
        <v/>
      </c>
      <c r="V8" s="14">
        <f>IF(AND(時間編集!C8&lt;&gt;"",時間編集!D8&lt;&gt;""),IF(AND(時間編集!E8&lt;&gt;"",時間編集!F8&lt;&gt;"",時間編集!E8&lt;=0.7291666666666666,時間編集!F8&gt;=0.75),"中抜",IF(AND(時間編集!C8&lt;=0.7291666666666666,時間編集!D8&gt;=0.75),"●","")),"")</f>
        <v/>
      </c>
      <c r="W8" s="14">
        <f>IF(AND(時間編集!C8&lt;&gt;"",時間編集!D8&lt;&gt;""),IF(AND(時間編集!E8&lt;&gt;"",時間編集!F8&lt;&gt;"",時間編集!E8&lt;=0.75,時間編集!F8&gt;=0.7708333333333334),"中抜",IF(AND(時間編集!C8&lt;=0.75,時間編集!D8&gt;=0.7708333333333334),"●","")),"")</f>
        <v/>
      </c>
      <c r="X8" s="14">
        <f>IF(AND(時間編集!C8&lt;&gt;"",時間編集!D8&lt;&gt;""),IF(AND(時間編集!E8&lt;&gt;"",時間編集!F8&lt;&gt;"",時間編集!E8&lt;=0.7708333333333334,時間編集!F8&gt;=0.7916666666666666),"中抜",IF(AND(時間編集!C8&lt;=0.7708333333333334,時間編集!D8&gt;=0.7916666666666666),"●","")),"")</f>
        <v/>
      </c>
    </row>
    <row r="9" ht="18" customHeight="1">
      <c r="A9" s="8" t="n"/>
      <c r="B9" s="5" t="inlineStr">
        <is>
          <t>土</t>
        </is>
      </c>
      <c r="C9" s="14">
        <f>IF(AND(時間編集!C9&lt;&gt;"",時間編集!D9&lt;&gt;""),IF(AND(時間編集!E9&lt;&gt;"",時間編集!F9&lt;&gt;"",時間編集!E9&lt;=0.3333333333333333,時間編集!F9&gt;=0.3541666666666667),"中抜",IF(AND(時間編集!C9&lt;=0.3333333333333333,時間編集!D9&gt;=0.3541666666666667),"●","")),"")</f>
        <v/>
      </c>
      <c r="D9" s="14">
        <f>IF(AND(時間編集!C9&lt;&gt;"",時間編集!D9&lt;&gt;""),IF(AND(時間編集!E9&lt;&gt;"",時間編集!F9&lt;&gt;"",時間編集!E9&lt;=0.3541666666666667,時間編集!F9&gt;=0.375),"中抜",IF(AND(時間編集!C9&lt;=0.3541666666666667,時間編集!D9&gt;=0.375),"●","")),"")</f>
        <v/>
      </c>
      <c r="E9" s="14">
        <f>IF(AND(時間編集!C9&lt;&gt;"",時間編集!D9&lt;&gt;""),IF(AND(時間編集!E9&lt;&gt;"",時間編集!F9&lt;&gt;"",時間編集!E9&lt;=0.375,時間編集!F9&gt;=0.3958333333333333),"中抜",IF(AND(時間編集!C9&lt;=0.375,時間編集!D9&gt;=0.3958333333333333),"●","")),"")</f>
        <v/>
      </c>
      <c r="F9" s="14">
        <f>IF(AND(時間編集!C9&lt;&gt;"",時間編集!D9&lt;&gt;""),IF(AND(時間編集!E9&lt;&gt;"",時間編集!F9&lt;&gt;"",時間編集!E9&lt;=0.3958333333333333,時間編集!F9&gt;=0.4166666666666667),"中抜",IF(AND(時間編集!C9&lt;=0.3958333333333333,時間編集!D9&gt;=0.4166666666666667),"●","")),"")</f>
        <v/>
      </c>
      <c r="G9" s="14">
        <f>IF(AND(時間編集!C9&lt;&gt;"",時間編集!D9&lt;&gt;""),IF(AND(時間編集!E9&lt;&gt;"",時間編集!F9&lt;&gt;"",時間編集!E9&lt;=0.4166666666666667,時間編集!F9&gt;=0.4375),"中抜",IF(AND(時間編集!C9&lt;=0.4166666666666667,時間編集!D9&gt;=0.4375),"●","")),"")</f>
        <v/>
      </c>
      <c r="H9" s="14">
        <f>IF(AND(時間編集!C9&lt;&gt;"",時間編集!D9&lt;&gt;""),IF(AND(時間編集!E9&lt;&gt;"",時間編集!F9&lt;&gt;"",時間編集!E9&lt;=0.4375,時間編集!F9&gt;=0.4583333333333333),"中抜",IF(AND(時間編集!C9&lt;=0.4375,時間編集!D9&gt;=0.4583333333333333),"●","")),"")</f>
        <v/>
      </c>
      <c r="I9" s="14">
        <f>IF(AND(時間編集!C9&lt;&gt;"",時間編集!D9&lt;&gt;""),IF(AND(時間編集!E9&lt;&gt;"",時間編集!F9&lt;&gt;"",時間編集!E9&lt;=0.4583333333333333,時間編集!F9&gt;=0.4791666666666667),"中抜",IF(AND(時間編集!C9&lt;=0.4583333333333333,時間編集!D9&gt;=0.4791666666666667),"●","")),"")</f>
        <v/>
      </c>
      <c r="J9" s="14">
        <f>IF(AND(時間編集!C9&lt;&gt;"",時間編集!D9&lt;&gt;""),IF(AND(時間編集!E9&lt;&gt;"",時間編集!F9&lt;&gt;"",時間編集!E9&lt;=0.4791666666666667,時間編集!F9&gt;=0.5),"中抜",IF(AND(時間編集!C9&lt;=0.4791666666666667,時間編集!D9&gt;=0.5),"●","")),"")</f>
        <v/>
      </c>
      <c r="K9" s="14">
        <f>IF(AND(時間編集!C9&lt;&gt;"",時間編集!D9&lt;&gt;""),IF(AND(時間編集!E9&lt;&gt;"",時間編集!F9&lt;&gt;"",時間編集!E9&lt;=0.5,時間編集!F9&gt;=0.5208333333333334),"中抜",IF(AND(時間編集!C9&lt;=0.5,時間編集!D9&gt;=0.5208333333333334),"●","")),"")</f>
        <v/>
      </c>
      <c r="L9" s="14">
        <f>IF(AND(時間編集!C9&lt;&gt;"",時間編集!D9&lt;&gt;""),IF(AND(時間編集!E9&lt;&gt;"",時間編集!F9&lt;&gt;"",時間編集!E9&lt;=0.5208333333333334,時間編集!F9&gt;=0.5416666666666666),"中抜",IF(AND(時間編集!C9&lt;=0.5208333333333334,時間編集!D9&gt;=0.5416666666666666),"●","")),"")</f>
        <v/>
      </c>
      <c r="M9" s="14">
        <f>IF(AND(時間編集!C9&lt;&gt;"",時間編集!D9&lt;&gt;""),IF(AND(時間編集!E9&lt;&gt;"",時間編集!F9&lt;&gt;"",時間編集!E9&lt;=0.5416666666666666,時間編集!F9&gt;=0.5625),"中抜",IF(AND(時間編集!C9&lt;=0.5416666666666666,時間編集!D9&gt;=0.5625),"●","")),"")</f>
        <v/>
      </c>
      <c r="N9" s="14">
        <f>IF(AND(時間編集!C9&lt;&gt;"",時間編集!D9&lt;&gt;""),IF(AND(時間編集!E9&lt;&gt;"",時間編集!F9&lt;&gt;"",時間編集!E9&lt;=0.5625,時間編集!F9&gt;=0.5833333333333334),"中抜",IF(AND(時間編集!C9&lt;=0.5625,時間編集!D9&gt;=0.5833333333333334),"●","")),"")</f>
        <v/>
      </c>
      <c r="O9" s="14">
        <f>IF(AND(時間編集!C9&lt;&gt;"",時間編集!D9&lt;&gt;""),IF(AND(時間編集!E9&lt;&gt;"",時間編集!F9&lt;&gt;"",時間編集!E9&lt;=0.5833333333333334,時間編集!F9&gt;=0.6041666666666666),"中抜",IF(AND(時間編集!C9&lt;=0.5833333333333334,時間編集!D9&gt;=0.6041666666666666),"●","")),"")</f>
        <v/>
      </c>
      <c r="P9" s="14">
        <f>IF(AND(時間編集!C9&lt;&gt;"",時間編集!D9&lt;&gt;""),IF(AND(時間編集!E9&lt;&gt;"",時間編集!F9&lt;&gt;"",時間編集!E9&lt;=0.6041666666666666,時間編集!F9&gt;=0.625),"中抜",IF(AND(時間編集!C9&lt;=0.6041666666666666,時間編集!D9&gt;=0.625),"●","")),"")</f>
        <v/>
      </c>
      <c r="Q9" s="14">
        <f>IF(AND(時間編集!C9&lt;&gt;"",時間編集!D9&lt;&gt;""),IF(AND(時間編集!E9&lt;&gt;"",時間編集!F9&lt;&gt;"",時間編集!E9&lt;=0.625,時間編集!F9&gt;=0.6458333333333334),"中抜",IF(AND(時間編集!C9&lt;=0.625,時間編集!D9&gt;=0.6458333333333334),"●","")),"")</f>
        <v/>
      </c>
      <c r="R9" s="14">
        <f>IF(AND(時間編集!C9&lt;&gt;"",時間編集!D9&lt;&gt;""),IF(AND(時間編集!E9&lt;&gt;"",時間編集!F9&lt;&gt;"",時間編集!E9&lt;=0.6458333333333334,時間編集!F9&gt;=0.6666666666666666),"中抜",IF(AND(時間編集!C9&lt;=0.6458333333333334,時間編集!D9&gt;=0.6666666666666666),"●","")),"")</f>
        <v/>
      </c>
      <c r="S9" s="14">
        <f>IF(AND(時間編集!C9&lt;&gt;"",時間編集!D9&lt;&gt;""),IF(AND(時間編集!E9&lt;&gt;"",時間編集!F9&lt;&gt;"",時間編集!E9&lt;=0.6666666666666666,時間編集!F9&gt;=0.6875),"中抜",IF(AND(時間編集!C9&lt;=0.6666666666666666,時間編集!D9&gt;=0.6875),"●","")),"")</f>
        <v/>
      </c>
      <c r="T9" s="14">
        <f>IF(AND(時間編集!C9&lt;&gt;"",時間編集!D9&lt;&gt;""),IF(AND(時間編集!E9&lt;&gt;"",時間編集!F9&lt;&gt;"",時間編集!E9&lt;=0.6875,時間編集!F9&gt;=0.7083333333333334),"中抜",IF(AND(時間編集!C9&lt;=0.6875,時間編集!D9&gt;=0.7083333333333334),"●","")),"")</f>
        <v/>
      </c>
      <c r="U9" s="14">
        <f>IF(AND(時間編集!C9&lt;&gt;"",時間編集!D9&lt;&gt;""),IF(AND(時間編集!E9&lt;&gt;"",時間編集!F9&lt;&gt;"",時間編集!E9&lt;=0.7083333333333334,時間編集!F9&gt;=0.7291666666666666),"中抜",IF(AND(時間編集!C9&lt;=0.7083333333333334,時間編集!D9&gt;=0.7291666666666666),"●","")),"")</f>
        <v/>
      </c>
      <c r="V9" s="14">
        <f>IF(AND(時間編集!C9&lt;&gt;"",時間編集!D9&lt;&gt;""),IF(AND(時間編集!E9&lt;&gt;"",時間編集!F9&lt;&gt;"",時間編集!E9&lt;=0.7291666666666666,時間編集!F9&gt;=0.75),"中抜",IF(AND(時間編集!C9&lt;=0.7291666666666666,時間編集!D9&gt;=0.75),"●","")),"")</f>
        <v/>
      </c>
      <c r="W9" s="14">
        <f>IF(AND(時間編集!C9&lt;&gt;"",時間編集!D9&lt;&gt;""),IF(AND(時間編集!E9&lt;&gt;"",時間編集!F9&lt;&gt;"",時間編集!E9&lt;=0.75,時間編集!F9&gt;=0.7708333333333334),"中抜",IF(AND(時間編集!C9&lt;=0.75,時間編集!D9&gt;=0.7708333333333334),"●","")),"")</f>
        <v/>
      </c>
      <c r="X9" s="14">
        <f>IF(AND(時間編集!C9&lt;&gt;"",時間編集!D9&lt;&gt;""),IF(AND(時間編集!E9&lt;&gt;"",時間編集!F9&lt;&gt;"",時間編集!E9&lt;=0.7708333333333334,時間編集!F9&gt;=0.7916666666666666),"中抜",IF(AND(時間編集!C9&lt;=0.7708333333333334,時間編集!D9&gt;=0.7916666666666666),"●","")),"")</f>
        <v/>
      </c>
    </row>
    <row r="10" ht="18" customHeight="1">
      <c r="A10" s="9" t="n"/>
      <c r="B10" s="5" t="inlineStr">
        <is>
          <t>日</t>
        </is>
      </c>
      <c r="C10" s="14">
        <f>IF(AND(時間編集!C10&lt;&gt;"",時間編集!D10&lt;&gt;""),IF(AND(時間編集!E10&lt;&gt;"",時間編集!F10&lt;&gt;"",時間編集!E10&lt;=0.3333333333333333,時間編集!F10&gt;=0.3541666666666667),"中抜",IF(AND(時間編集!C10&lt;=0.3333333333333333,時間編集!D10&gt;=0.3541666666666667),"●","")),"")</f>
        <v/>
      </c>
      <c r="D10" s="14">
        <f>IF(AND(時間編集!C10&lt;&gt;"",時間編集!D10&lt;&gt;""),IF(AND(時間編集!E10&lt;&gt;"",時間編集!F10&lt;&gt;"",時間編集!E10&lt;=0.3541666666666667,時間編集!F10&gt;=0.375),"中抜",IF(AND(時間編集!C10&lt;=0.3541666666666667,時間編集!D10&gt;=0.375),"●","")),"")</f>
        <v/>
      </c>
      <c r="E10" s="14">
        <f>IF(AND(時間編集!C10&lt;&gt;"",時間編集!D10&lt;&gt;""),IF(AND(時間編集!E10&lt;&gt;"",時間編集!F10&lt;&gt;"",時間編集!E10&lt;=0.375,時間編集!F10&gt;=0.3958333333333333),"中抜",IF(AND(時間編集!C10&lt;=0.375,時間編集!D10&gt;=0.3958333333333333),"●","")),"")</f>
        <v/>
      </c>
      <c r="F10" s="14">
        <f>IF(AND(時間編集!C10&lt;&gt;"",時間編集!D10&lt;&gt;""),IF(AND(時間編集!E10&lt;&gt;"",時間編集!F10&lt;&gt;"",時間編集!E10&lt;=0.3958333333333333,時間編集!F10&gt;=0.4166666666666667),"中抜",IF(AND(時間編集!C10&lt;=0.3958333333333333,時間編集!D10&gt;=0.4166666666666667),"●","")),"")</f>
        <v/>
      </c>
      <c r="G10" s="14">
        <f>IF(AND(時間編集!C10&lt;&gt;"",時間編集!D10&lt;&gt;""),IF(AND(時間編集!E10&lt;&gt;"",時間編集!F10&lt;&gt;"",時間編集!E10&lt;=0.4166666666666667,時間編集!F10&gt;=0.4375),"中抜",IF(AND(時間編集!C10&lt;=0.4166666666666667,時間編集!D10&gt;=0.4375),"●","")),"")</f>
        <v/>
      </c>
      <c r="H10" s="14">
        <f>IF(AND(時間編集!C10&lt;&gt;"",時間編集!D10&lt;&gt;""),IF(AND(時間編集!E10&lt;&gt;"",時間編集!F10&lt;&gt;"",時間編集!E10&lt;=0.4375,時間編集!F10&gt;=0.4583333333333333),"中抜",IF(AND(時間編集!C10&lt;=0.4375,時間編集!D10&gt;=0.4583333333333333),"●","")),"")</f>
        <v/>
      </c>
      <c r="I10" s="14">
        <f>IF(AND(時間編集!C10&lt;&gt;"",時間編集!D10&lt;&gt;""),IF(AND(時間編集!E10&lt;&gt;"",時間編集!F10&lt;&gt;"",時間編集!E10&lt;=0.4583333333333333,時間編集!F10&gt;=0.4791666666666667),"中抜",IF(AND(時間編集!C10&lt;=0.4583333333333333,時間編集!D10&gt;=0.4791666666666667),"●","")),"")</f>
        <v/>
      </c>
      <c r="J10" s="14">
        <f>IF(AND(時間編集!C10&lt;&gt;"",時間編集!D10&lt;&gt;""),IF(AND(時間編集!E10&lt;&gt;"",時間編集!F10&lt;&gt;"",時間編集!E10&lt;=0.4791666666666667,時間編集!F10&gt;=0.5),"中抜",IF(AND(時間編集!C10&lt;=0.4791666666666667,時間編集!D10&gt;=0.5),"●","")),"")</f>
        <v/>
      </c>
      <c r="K10" s="14">
        <f>IF(AND(時間編集!C10&lt;&gt;"",時間編集!D10&lt;&gt;""),IF(AND(時間編集!E10&lt;&gt;"",時間編集!F10&lt;&gt;"",時間編集!E10&lt;=0.5,時間編集!F10&gt;=0.5208333333333334),"中抜",IF(AND(時間編集!C10&lt;=0.5,時間編集!D10&gt;=0.5208333333333334),"●","")),"")</f>
        <v/>
      </c>
      <c r="L10" s="14">
        <f>IF(AND(時間編集!C10&lt;&gt;"",時間編集!D10&lt;&gt;""),IF(AND(時間編集!E10&lt;&gt;"",時間編集!F10&lt;&gt;"",時間編集!E10&lt;=0.5208333333333334,時間編集!F10&gt;=0.5416666666666666),"中抜",IF(AND(時間編集!C10&lt;=0.5208333333333334,時間編集!D10&gt;=0.5416666666666666),"●","")),"")</f>
        <v/>
      </c>
      <c r="M10" s="14">
        <f>IF(AND(時間編集!C10&lt;&gt;"",時間編集!D10&lt;&gt;""),IF(AND(時間編集!E10&lt;&gt;"",時間編集!F10&lt;&gt;"",時間編集!E10&lt;=0.5416666666666666,時間編集!F10&gt;=0.5625),"中抜",IF(AND(時間編集!C10&lt;=0.5416666666666666,時間編集!D10&gt;=0.5625),"●","")),"")</f>
        <v/>
      </c>
      <c r="N10" s="14">
        <f>IF(AND(時間編集!C10&lt;&gt;"",時間編集!D10&lt;&gt;""),IF(AND(時間編集!E10&lt;&gt;"",時間編集!F10&lt;&gt;"",時間編集!E10&lt;=0.5625,時間編集!F10&gt;=0.5833333333333334),"中抜",IF(AND(時間編集!C10&lt;=0.5625,時間編集!D10&gt;=0.5833333333333334),"●","")),"")</f>
        <v/>
      </c>
      <c r="O10" s="14">
        <f>IF(AND(時間編集!C10&lt;&gt;"",時間編集!D10&lt;&gt;""),IF(AND(時間編集!E10&lt;&gt;"",時間編集!F10&lt;&gt;"",時間編集!E10&lt;=0.5833333333333334,時間編集!F10&gt;=0.6041666666666666),"中抜",IF(AND(時間編集!C10&lt;=0.5833333333333334,時間編集!D10&gt;=0.6041666666666666),"●","")),"")</f>
        <v/>
      </c>
      <c r="P10" s="14">
        <f>IF(AND(時間編集!C10&lt;&gt;"",時間編集!D10&lt;&gt;""),IF(AND(時間編集!E10&lt;&gt;"",時間編集!F10&lt;&gt;"",時間編集!E10&lt;=0.6041666666666666,時間編集!F10&gt;=0.625),"中抜",IF(AND(時間編集!C10&lt;=0.6041666666666666,時間編集!D10&gt;=0.625),"●","")),"")</f>
        <v/>
      </c>
      <c r="Q10" s="14">
        <f>IF(AND(時間編集!C10&lt;&gt;"",時間編集!D10&lt;&gt;""),IF(AND(時間編集!E10&lt;&gt;"",時間編集!F10&lt;&gt;"",時間編集!E10&lt;=0.625,時間編集!F10&gt;=0.6458333333333334),"中抜",IF(AND(時間編集!C10&lt;=0.625,時間編集!D10&gt;=0.6458333333333334),"●","")),"")</f>
        <v/>
      </c>
      <c r="R10" s="14">
        <f>IF(AND(時間編集!C10&lt;&gt;"",時間編集!D10&lt;&gt;""),IF(AND(時間編集!E10&lt;&gt;"",時間編集!F10&lt;&gt;"",時間編集!E10&lt;=0.6458333333333334,時間編集!F10&gt;=0.6666666666666666),"中抜",IF(AND(時間編集!C10&lt;=0.6458333333333334,時間編集!D10&gt;=0.6666666666666666),"●","")),"")</f>
        <v/>
      </c>
      <c r="S10" s="14">
        <f>IF(AND(時間編集!C10&lt;&gt;"",時間編集!D10&lt;&gt;""),IF(AND(時間編集!E10&lt;&gt;"",時間編集!F10&lt;&gt;"",時間編集!E10&lt;=0.6666666666666666,時間編集!F10&gt;=0.6875),"中抜",IF(AND(時間編集!C10&lt;=0.6666666666666666,時間編集!D10&gt;=0.6875),"●","")),"")</f>
        <v/>
      </c>
      <c r="T10" s="14">
        <f>IF(AND(時間編集!C10&lt;&gt;"",時間編集!D10&lt;&gt;""),IF(AND(時間編集!E10&lt;&gt;"",時間編集!F10&lt;&gt;"",時間編集!E10&lt;=0.6875,時間編集!F10&gt;=0.7083333333333334),"中抜",IF(AND(時間編集!C10&lt;=0.6875,時間編集!D10&gt;=0.7083333333333334),"●","")),"")</f>
        <v/>
      </c>
      <c r="U10" s="14">
        <f>IF(AND(時間編集!C10&lt;&gt;"",時間編集!D10&lt;&gt;""),IF(AND(時間編集!E10&lt;&gt;"",時間編集!F10&lt;&gt;"",時間編集!E10&lt;=0.7083333333333334,時間編集!F10&gt;=0.7291666666666666),"中抜",IF(AND(時間編集!C10&lt;=0.7083333333333334,時間編集!D10&gt;=0.7291666666666666),"●","")),"")</f>
        <v/>
      </c>
      <c r="V10" s="14">
        <f>IF(AND(時間編集!C10&lt;&gt;"",時間編集!D10&lt;&gt;""),IF(AND(時間編集!E10&lt;&gt;"",時間編集!F10&lt;&gt;"",時間編集!E10&lt;=0.7291666666666666,時間編集!F10&gt;=0.75),"中抜",IF(AND(時間編集!C10&lt;=0.7291666666666666,時間編集!D10&gt;=0.75),"●","")),"")</f>
        <v/>
      </c>
      <c r="W10" s="14">
        <f>IF(AND(時間編集!C10&lt;&gt;"",時間編集!D10&lt;&gt;""),IF(AND(時間編集!E10&lt;&gt;"",時間編集!F10&lt;&gt;"",時間編集!E10&lt;=0.75,時間編集!F10&gt;=0.7708333333333334),"中抜",IF(AND(時間編集!C10&lt;=0.75,時間編集!D10&gt;=0.7708333333333334),"●","")),"")</f>
        <v/>
      </c>
      <c r="X10" s="14">
        <f>IF(AND(時間編集!C10&lt;&gt;"",時間編集!D10&lt;&gt;""),IF(AND(時間編集!E10&lt;&gt;"",時間編集!F10&lt;&gt;"",時間編集!E10&lt;=0.7708333333333334,時間編集!F10&gt;=0.7916666666666666),"中抜",IF(AND(時間編集!C10&lt;=0.7708333333333334,時間編集!D10&gt;=0.7916666666666666),"●","")),"")</f>
        <v/>
      </c>
    </row>
    <row r="11" ht="18" customHeight="1">
      <c r="A11" s="4" t="inlineStr">
        <is>
          <t>小泉</t>
        </is>
      </c>
      <c r="B11" s="5" t="inlineStr">
        <is>
          <t>月</t>
        </is>
      </c>
      <c r="C11" s="14">
        <f>IF(AND(時間編集!C11&lt;&gt;"",時間編集!D11&lt;&gt;""),IF(AND(時間編集!E11&lt;&gt;"",時間編集!F11&lt;&gt;"",時間編集!E11&lt;=0.3333333333333333,時間編集!F11&gt;=0.3541666666666667),"中抜",IF(AND(時間編集!C11&lt;=0.3333333333333333,時間編集!D11&gt;=0.3541666666666667),"●","")),"")</f>
        <v/>
      </c>
      <c r="D11" s="14">
        <f>IF(AND(時間編集!C11&lt;&gt;"",時間編集!D11&lt;&gt;""),IF(AND(時間編集!E11&lt;&gt;"",時間編集!F11&lt;&gt;"",時間編集!E11&lt;=0.3541666666666667,時間編集!F11&gt;=0.375),"中抜",IF(AND(時間編集!C11&lt;=0.3541666666666667,時間編集!D11&gt;=0.375),"●","")),"")</f>
        <v/>
      </c>
      <c r="E11" s="14">
        <f>IF(AND(時間編集!C11&lt;&gt;"",時間編集!D11&lt;&gt;""),IF(AND(時間編集!E11&lt;&gt;"",時間編集!F11&lt;&gt;"",時間編集!E11&lt;=0.375,時間編集!F11&gt;=0.3958333333333333),"中抜",IF(AND(時間編集!C11&lt;=0.375,時間編集!D11&gt;=0.3958333333333333),"●","")),"")</f>
        <v/>
      </c>
      <c r="F11" s="14">
        <f>IF(AND(時間編集!C11&lt;&gt;"",時間編集!D11&lt;&gt;""),IF(AND(時間編集!E11&lt;&gt;"",時間編集!F11&lt;&gt;"",時間編集!E11&lt;=0.3958333333333333,時間編集!F11&gt;=0.4166666666666667),"中抜",IF(AND(時間編集!C11&lt;=0.3958333333333333,時間編集!D11&gt;=0.4166666666666667),"●","")),"")</f>
        <v/>
      </c>
      <c r="G11" s="14">
        <f>IF(AND(時間編集!C11&lt;&gt;"",時間編集!D11&lt;&gt;""),IF(AND(時間編集!E11&lt;&gt;"",時間編集!F11&lt;&gt;"",時間編集!E11&lt;=0.4166666666666667,時間編集!F11&gt;=0.4375),"中抜",IF(AND(時間編集!C11&lt;=0.4166666666666667,時間編集!D11&gt;=0.4375),"●","")),"")</f>
        <v/>
      </c>
      <c r="H11" s="14">
        <f>IF(AND(時間編集!C11&lt;&gt;"",時間編集!D11&lt;&gt;""),IF(AND(時間編集!E11&lt;&gt;"",時間編集!F11&lt;&gt;"",時間編集!E11&lt;=0.4375,時間編集!F11&gt;=0.4583333333333333),"中抜",IF(AND(時間編集!C11&lt;=0.4375,時間編集!D11&gt;=0.4583333333333333),"●","")),"")</f>
        <v/>
      </c>
      <c r="I11" s="14">
        <f>IF(AND(時間編集!C11&lt;&gt;"",時間編集!D11&lt;&gt;""),IF(AND(時間編集!E11&lt;&gt;"",時間編集!F11&lt;&gt;"",時間編集!E11&lt;=0.4583333333333333,時間編集!F11&gt;=0.4791666666666667),"中抜",IF(AND(時間編集!C11&lt;=0.4583333333333333,時間編集!D11&gt;=0.4791666666666667),"●","")),"")</f>
        <v/>
      </c>
      <c r="J11" s="14">
        <f>IF(AND(時間編集!C11&lt;&gt;"",時間編集!D11&lt;&gt;""),IF(AND(時間編集!E11&lt;&gt;"",時間編集!F11&lt;&gt;"",時間編集!E11&lt;=0.4791666666666667,時間編集!F11&gt;=0.5),"中抜",IF(AND(時間編集!C11&lt;=0.4791666666666667,時間編集!D11&gt;=0.5),"●","")),"")</f>
        <v/>
      </c>
      <c r="K11" s="14">
        <f>IF(AND(時間編集!C11&lt;&gt;"",時間編集!D11&lt;&gt;""),IF(AND(時間編集!E11&lt;&gt;"",時間編集!F11&lt;&gt;"",時間編集!E11&lt;=0.5,時間編集!F11&gt;=0.5208333333333334),"中抜",IF(AND(時間編集!C11&lt;=0.5,時間編集!D11&gt;=0.5208333333333334),"●","")),"")</f>
        <v/>
      </c>
      <c r="L11" s="14">
        <f>IF(AND(時間編集!C11&lt;&gt;"",時間編集!D11&lt;&gt;""),IF(AND(時間編集!E11&lt;&gt;"",時間編集!F11&lt;&gt;"",時間編集!E11&lt;=0.5208333333333334,時間編集!F11&gt;=0.5416666666666666),"中抜",IF(AND(時間編集!C11&lt;=0.5208333333333334,時間編集!D11&gt;=0.5416666666666666),"●","")),"")</f>
        <v/>
      </c>
      <c r="M11" s="14">
        <f>IF(AND(時間編集!C11&lt;&gt;"",時間編集!D11&lt;&gt;""),IF(AND(時間編集!E11&lt;&gt;"",時間編集!F11&lt;&gt;"",時間編集!E11&lt;=0.5416666666666666,時間編集!F11&gt;=0.5625),"中抜",IF(AND(時間編集!C11&lt;=0.5416666666666666,時間編集!D11&gt;=0.5625),"●","")),"")</f>
        <v/>
      </c>
      <c r="N11" s="14">
        <f>IF(AND(時間編集!C11&lt;&gt;"",時間編集!D11&lt;&gt;""),IF(AND(時間編集!E11&lt;&gt;"",時間編集!F11&lt;&gt;"",時間編集!E11&lt;=0.5625,時間編集!F11&gt;=0.5833333333333334),"中抜",IF(AND(時間編集!C11&lt;=0.5625,時間編集!D11&gt;=0.5833333333333334),"●","")),"")</f>
        <v/>
      </c>
      <c r="O11" s="14">
        <f>IF(AND(時間編集!C11&lt;&gt;"",時間編集!D11&lt;&gt;""),IF(AND(時間編集!E11&lt;&gt;"",時間編集!F11&lt;&gt;"",時間編集!E11&lt;=0.5833333333333334,時間編集!F11&gt;=0.6041666666666666),"中抜",IF(AND(時間編集!C11&lt;=0.5833333333333334,時間編集!D11&gt;=0.6041666666666666),"●","")),"")</f>
        <v/>
      </c>
      <c r="P11" s="14">
        <f>IF(AND(時間編集!C11&lt;&gt;"",時間編集!D11&lt;&gt;""),IF(AND(時間編集!E11&lt;&gt;"",時間編集!F11&lt;&gt;"",時間編集!E11&lt;=0.6041666666666666,時間編集!F11&gt;=0.625),"中抜",IF(AND(時間編集!C11&lt;=0.6041666666666666,時間編集!D11&gt;=0.625),"●","")),"")</f>
        <v/>
      </c>
      <c r="Q11" s="14">
        <f>IF(AND(時間編集!C11&lt;&gt;"",時間編集!D11&lt;&gt;""),IF(AND(時間編集!E11&lt;&gt;"",時間編集!F11&lt;&gt;"",時間編集!E11&lt;=0.625,時間編集!F11&gt;=0.6458333333333334),"中抜",IF(AND(時間編集!C11&lt;=0.625,時間編集!D11&gt;=0.6458333333333334),"●","")),"")</f>
        <v/>
      </c>
      <c r="R11" s="14">
        <f>IF(AND(時間編集!C11&lt;&gt;"",時間編集!D11&lt;&gt;""),IF(AND(時間編集!E11&lt;&gt;"",時間編集!F11&lt;&gt;"",時間編集!E11&lt;=0.6458333333333334,時間編集!F11&gt;=0.6666666666666666),"中抜",IF(AND(時間編集!C11&lt;=0.6458333333333334,時間編集!D11&gt;=0.6666666666666666),"●","")),"")</f>
        <v/>
      </c>
      <c r="S11" s="14">
        <f>IF(AND(時間編集!C11&lt;&gt;"",時間編集!D11&lt;&gt;""),IF(AND(時間編集!E11&lt;&gt;"",時間編集!F11&lt;&gt;"",時間編集!E11&lt;=0.6666666666666666,時間編集!F11&gt;=0.6875),"中抜",IF(AND(時間編集!C11&lt;=0.6666666666666666,時間編集!D11&gt;=0.6875),"●","")),"")</f>
        <v/>
      </c>
      <c r="T11" s="14">
        <f>IF(AND(時間編集!C11&lt;&gt;"",時間編集!D11&lt;&gt;""),IF(AND(時間編集!E11&lt;&gt;"",時間編集!F11&lt;&gt;"",時間編集!E11&lt;=0.6875,時間編集!F11&gt;=0.7083333333333334),"中抜",IF(AND(時間編集!C11&lt;=0.6875,時間編集!D11&gt;=0.7083333333333334),"●","")),"")</f>
        <v/>
      </c>
      <c r="U11" s="14">
        <f>IF(AND(時間編集!C11&lt;&gt;"",時間編集!D11&lt;&gt;""),IF(AND(時間編集!E11&lt;&gt;"",時間編集!F11&lt;&gt;"",時間編集!E11&lt;=0.7083333333333334,時間編集!F11&gt;=0.7291666666666666),"中抜",IF(AND(時間編集!C11&lt;=0.7083333333333334,時間編集!D11&gt;=0.7291666666666666),"●","")),"")</f>
        <v/>
      </c>
      <c r="V11" s="14">
        <f>IF(AND(時間編集!C11&lt;&gt;"",時間編集!D11&lt;&gt;""),IF(AND(時間編集!E11&lt;&gt;"",時間編集!F11&lt;&gt;"",時間編集!E11&lt;=0.7291666666666666,時間編集!F11&gt;=0.75),"中抜",IF(AND(時間編集!C11&lt;=0.7291666666666666,時間編集!D11&gt;=0.75),"●","")),"")</f>
        <v/>
      </c>
      <c r="W11" s="14">
        <f>IF(AND(時間編集!C11&lt;&gt;"",時間編集!D11&lt;&gt;""),IF(AND(時間編集!E11&lt;&gt;"",時間編集!F11&lt;&gt;"",時間編集!E11&lt;=0.75,時間編集!F11&gt;=0.7708333333333334),"中抜",IF(AND(時間編集!C11&lt;=0.75,時間編集!D11&gt;=0.7708333333333334),"●","")),"")</f>
        <v/>
      </c>
      <c r="X11" s="14">
        <f>IF(AND(時間編集!C11&lt;&gt;"",時間編集!D11&lt;&gt;""),IF(AND(時間編集!E11&lt;&gt;"",時間編集!F11&lt;&gt;"",時間編集!E11&lt;=0.7708333333333334,時間編集!F11&gt;=0.7916666666666666),"中抜",IF(AND(時間編集!C11&lt;=0.7708333333333334,時間編集!D11&gt;=0.7916666666666666),"●","")),"")</f>
        <v/>
      </c>
    </row>
    <row r="12" ht="18" customHeight="1">
      <c r="A12" s="8" t="n"/>
      <c r="B12" s="5" t="inlineStr">
        <is>
          <t>火</t>
        </is>
      </c>
      <c r="C12" s="14">
        <f>IF(AND(時間編集!C12&lt;&gt;"",時間編集!D12&lt;&gt;""),IF(AND(時間編集!E12&lt;&gt;"",時間編集!F12&lt;&gt;"",時間編集!E12&lt;=0.3333333333333333,時間編集!F12&gt;=0.3541666666666667),"中抜",IF(AND(時間編集!C12&lt;=0.3333333333333333,時間編集!D12&gt;=0.3541666666666667),"●","")),"")</f>
        <v/>
      </c>
      <c r="D12" s="14">
        <f>IF(AND(時間編集!C12&lt;&gt;"",時間編集!D12&lt;&gt;""),IF(AND(時間編集!E12&lt;&gt;"",時間編集!F12&lt;&gt;"",時間編集!E12&lt;=0.3541666666666667,時間編集!F12&gt;=0.375),"中抜",IF(AND(時間編集!C12&lt;=0.3541666666666667,時間編集!D12&gt;=0.375),"●","")),"")</f>
        <v/>
      </c>
      <c r="E12" s="14">
        <f>IF(AND(時間編集!C12&lt;&gt;"",時間編集!D12&lt;&gt;""),IF(AND(時間編集!E12&lt;&gt;"",時間編集!F12&lt;&gt;"",時間編集!E12&lt;=0.375,時間編集!F12&gt;=0.3958333333333333),"中抜",IF(AND(時間編集!C12&lt;=0.375,時間編集!D12&gt;=0.3958333333333333),"●","")),"")</f>
        <v/>
      </c>
      <c r="F12" s="14">
        <f>IF(AND(時間編集!C12&lt;&gt;"",時間編集!D12&lt;&gt;""),IF(AND(時間編集!E12&lt;&gt;"",時間編集!F12&lt;&gt;"",時間編集!E12&lt;=0.3958333333333333,時間編集!F12&gt;=0.4166666666666667),"中抜",IF(AND(時間編集!C12&lt;=0.3958333333333333,時間編集!D12&gt;=0.4166666666666667),"●","")),"")</f>
        <v/>
      </c>
      <c r="G12" s="14">
        <f>IF(AND(時間編集!C12&lt;&gt;"",時間編集!D12&lt;&gt;""),IF(AND(時間編集!E12&lt;&gt;"",時間編集!F12&lt;&gt;"",時間編集!E12&lt;=0.4166666666666667,時間編集!F12&gt;=0.4375),"中抜",IF(AND(時間編集!C12&lt;=0.4166666666666667,時間編集!D12&gt;=0.4375),"●","")),"")</f>
        <v/>
      </c>
      <c r="H12" s="14">
        <f>IF(AND(時間編集!C12&lt;&gt;"",時間編集!D12&lt;&gt;""),IF(AND(時間編集!E12&lt;&gt;"",時間編集!F12&lt;&gt;"",時間編集!E12&lt;=0.4375,時間編集!F12&gt;=0.4583333333333333),"中抜",IF(AND(時間編集!C12&lt;=0.4375,時間編集!D12&gt;=0.4583333333333333),"●","")),"")</f>
        <v/>
      </c>
      <c r="I12" s="14">
        <f>IF(AND(時間編集!C12&lt;&gt;"",時間編集!D12&lt;&gt;""),IF(AND(時間編集!E12&lt;&gt;"",時間編集!F12&lt;&gt;"",時間編集!E12&lt;=0.4583333333333333,時間編集!F12&gt;=0.4791666666666667),"中抜",IF(AND(時間編集!C12&lt;=0.4583333333333333,時間編集!D12&gt;=0.4791666666666667),"●","")),"")</f>
        <v/>
      </c>
      <c r="J12" s="14">
        <f>IF(AND(時間編集!C12&lt;&gt;"",時間編集!D12&lt;&gt;""),IF(AND(時間編集!E12&lt;&gt;"",時間編集!F12&lt;&gt;"",時間編集!E12&lt;=0.4791666666666667,時間編集!F12&gt;=0.5),"中抜",IF(AND(時間編集!C12&lt;=0.4791666666666667,時間編集!D12&gt;=0.5),"●","")),"")</f>
        <v/>
      </c>
      <c r="K12" s="14">
        <f>IF(AND(時間編集!C12&lt;&gt;"",時間編集!D12&lt;&gt;""),IF(AND(時間編集!E12&lt;&gt;"",時間編集!F12&lt;&gt;"",時間編集!E12&lt;=0.5,時間編集!F12&gt;=0.5208333333333334),"中抜",IF(AND(時間編集!C12&lt;=0.5,時間編集!D12&gt;=0.5208333333333334),"●","")),"")</f>
        <v/>
      </c>
      <c r="L12" s="14">
        <f>IF(AND(時間編集!C12&lt;&gt;"",時間編集!D12&lt;&gt;""),IF(AND(時間編集!E12&lt;&gt;"",時間編集!F12&lt;&gt;"",時間編集!E12&lt;=0.5208333333333334,時間編集!F12&gt;=0.5416666666666666),"中抜",IF(AND(時間編集!C12&lt;=0.5208333333333334,時間編集!D12&gt;=0.5416666666666666),"●","")),"")</f>
        <v/>
      </c>
      <c r="M12" s="14">
        <f>IF(AND(時間編集!C12&lt;&gt;"",時間編集!D12&lt;&gt;""),IF(AND(時間編集!E12&lt;&gt;"",時間編集!F12&lt;&gt;"",時間編集!E12&lt;=0.5416666666666666,時間編集!F12&gt;=0.5625),"中抜",IF(AND(時間編集!C12&lt;=0.5416666666666666,時間編集!D12&gt;=0.5625),"●","")),"")</f>
        <v/>
      </c>
      <c r="N12" s="14">
        <f>IF(AND(時間編集!C12&lt;&gt;"",時間編集!D12&lt;&gt;""),IF(AND(時間編集!E12&lt;&gt;"",時間編集!F12&lt;&gt;"",時間編集!E12&lt;=0.5625,時間編集!F12&gt;=0.5833333333333334),"中抜",IF(AND(時間編集!C12&lt;=0.5625,時間編集!D12&gt;=0.5833333333333334),"●","")),"")</f>
        <v/>
      </c>
      <c r="O12" s="14">
        <f>IF(AND(時間編集!C12&lt;&gt;"",時間編集!D12&lt;&gt;""),IF(AND(時間編集!E12&lt;&gt;"",時間編集!F12&lt;&gt;"",時間編集!E12&lt;=0.5833333333333334,時間編集!F12&gt;=0.6041666666666666),"中抜",IF(AND(時間編集!C12&lt;=0.5833333333333334,時間編集!D12&gt;=0.6041666666666666),"●","")),"")</f>
        <v/>
      </c>
      <c r="P12" s="14">
        <f>IF(AND(時間編集!C12&lt;&gt;"",時間編集!D12&lt;&gt;""),IF(AND(時間編集!E12&lt;&gt;"",時間編集!F12&lt;&gt;"",時間編集!E12&lt;=0.6041666666666666,時間編集!F12&gt;=0.625),"中抜",IF(AND(時間編集!C12&lt;=0.6041666666666666,時間編集!D12&gt;=0.625),"●","")),"")</f>
        <v/>
      </c>
      <c r="Q12" s="14">
        <f>IF(AND(時間編集!C12&lt;&gt;"",時間編集!D12&lt;&gt;""),IF(AND(時間編集!E12&lt;&gt;"",時間編集!F12&lt;&gt;"",時間編集!E12&lt;=0.625,時間編集!F12&gt;=0.6458333333333334),"中抜",IF(AND(時間編集!C12&lt;=0.625,時間編集!D12&gt;=0.6458333333333334),"●","")),"")</f>
        <v/>
      </c>
      <c r="R12" s="14">
        <f>IF(AND(時間編集!C12&lt;&gt;"",時間編集!D12&lt;&gt;""),IF(AND(時間編集!E12&lt;&gt;"",時間編集!F12&lt;&gt;"",時間編集!E12&lt;=0.6458333333333334,時間編集!F12&gt;=0.6666666666666666),"中抜",IF(AND(時間編集!C12&lt;=0.6458333333333334,時間編集!D12&gt;=0.6666666666666666),"●","")),"")</f>
        <v/>
      </c>
      <c r="S12" s="14">
        <f>IF(AND(時間編集!C12&lt;&gt;"",時間編集!D12&lt;&gt;""),IF(AND(時間編集!E12&lt;&gt;"",時間編集!F12&lt;&gt;"",時間編集!E12&lt;=0.6666666666666666,時間編集!F12&gt;=0.6875),"中抜",IF(AND(時間編集!C12&lt;=0.6666666666666666,時間編集!D12&gt;=0.6875),"●","")),"")</f>
        <v/>
      </c>
      <c r="T12" s="14">
        <f>IF(AND(時間編集!C12&lt;&gt;"",時間編集!D12&lt;&gt;""),IF(AND(時間編集!E12&lt;&gt;"",時間編集!F12&lt;&gt;"",時間編集!E12&lt;=0.6875,時間編集!F12&gt;=0.7083333333333334),"中抜",IF(AND(時間編集!C12&lt;=0.6875,時間編集!D12&gt;=0.7083333333333334),"●","")),"")</f>
        <v/>
      </c>
      <c r="U12" s="14">
        <f>IF(AND(時間編集!C12&lt;&gt;"",時間編集!D12&lt;&gt;""),IF(AND(時間編集!E12&lt;&gt;"",時間編集!F12&lt;&gt;"",時間編集!E12&lt;=0.7083333333333334,時間編集!F12&gt;=0.7291666666666666),"中抜",IF(AND(時間編集!C12&lt;=0.7083333333333334,時間編集!D12&gt;=0.7291666666666666),"●","")),"")</f>
        <v/>
      </c>
      <c r="V12" s="14">
        <f>IF(AND(時間編集!C12&lt;&gt;"",時間編集!D12&lt;&gt;""),IF(AND(時間編集!E12&lt;&gt;"",時間編集!F12&lt;&gt;"",時間編集!E12&lt;=0.7291666666666666,時間編集!F12&gt;=0.75),"中抜",IF(AND(時間編集!C12&lt;=0.7291666666666666,時間編集!D12&gt;=0.75),"●","")),"")</f>
        <v/>
      </c>
      <c r="W12" s="14">
        <f>IF(AND(時間編集!C12&lt;&gt;"",時間編集!D12&lt;&gt;""),IF(AND(時間編集!E12&lt;&gt;"",時間編集!F12&lt;&gt;"",時間編集!E12&lt;=0.75,時間編集!F12&gt;=0.7708333333333334),"中抜",IF(AND(時間編集!C12&lt;=0.75,時間編集!D12&gt;=0.7708333333333334),"●","")),"")</f>
        <v/>
      </c>
      <c r="X12" s="14">
        <f>IF(AND(時間編集!C12&lt;&gt;"",時間編集!D12&lt;&gt;""),IF(AND(時間編集!E12&lt;&gt;"",時間編集!F12&lt;&gt;"",時間編集!E12&lt;=0.7708333333333334,時間編集!F12&gt;=0.7916666666666666),"中抜",IF(AND(時間編集!C12&lt;=0.7708333333333334,時間編集!D12&gt;=0.7916666666666666),"●","")),"")</f>
        <v/>
      </c>
    </row>
    <row r="13" ht="18" customHeight="1">
      <c r="A13" s="8" t="n"/>
      <c r="B13" s="5" t="inlineStr">
        <is>
          <t>水</t>
        </is>
      </c>
      <c r="C13" s="14">
        <f>IF(AND(時間編集!C13&lt;&gt;"",時間編集!D13&lt;&gt;""),IF(AND(時間編集!E13&lt;&gt;"",時間編集!F13&lt;&gt;"",時間編集!E13&lt;=0.3333333333333333,時間編集!F13&gt;=0.3541666666666667),"中抜",IF(AND(時間編集!C13&lt;=0.3333333333333333,時間編集!D13&gt;=0.3541666666666667),"●","")),"")</f>
        <v/>
      </c>
      <c r="D13" s="14">
        <f>IF(AND(時間編集!C13&lt;&gt;"",時間編集!D13&lt;&gt;""),IF(AND(時間編集!E13&lt;&gt;"",時間編集!F13&lt;&gt;"",時間編集!E13&lt;=0.3541666666666667,時間編集!F13&gt;=0.375),"中抜",IF(AND(時間編集!C13&lt;=0.3541666666666667,時間編集!D13&gt;=0.375),"●","")),"")</f>
        <v/>
      </c>
      <c r="E13" s="14">
        <f>IF(AND(時間編集!C13&lt;&gt;"",時間編集!D13&lt;&gt;""),IF(AND(時間編集!E13&lt;&gt;"",時間編集!F13&lt;&gt;"",時間編集!E13&lt;=0.375,時間編集!F13&gt;=0.3958333333333333),"中抜",IF(AND(時間編集!C13&lt;=0.375,時間編集!D13&gt;=0.3958333333333333),"●","")),"")</f>
        <v/>
      </c>
      <c r="F13" s="14">
        <f>IF(AND(時間編集!C13&lt;&gt;"",時間編集!D13&lt;&gt;""),IF(AND(時間編集!E13&lt;&gt;"",時間編集!F13&lt;&gt;"",時間編集!E13&lt;=0.3958333333333333,時間編集!F13&gt;=0.4166666666666667),"中抜",IF(AND(時間編集!C13&lt;=0.3958333333333333,時間編集!D13&gt;=0.4166666666666667),"●","")),"")</f>
        <v/>
      </c>
      <c r="G13" s="14">
        <f>IF(AND(時間編集!C13&lt;&gt;"",時間編集!D13&lt;&gt;""),IF(AND(時間編集!E13&lt;&gt;"",時間編集!F13&lt;&gt;"",時間編集!E13&lt;=0.4166666666666667,時間編集!F13&gt;=0.4375),"中抜",IF(AND(時間編集!C13&lt;=0.4166666666666667,時間編集!D13&gt;=0.4375),"●","")),"")</f>
        <v/>
      </c>
      <c r="H13" s="14">
        <f>IF(AND(時間編集!C13&lt;&gt;"",時間編集!D13&lt;&gt;""),IF(AND(時間編集!E13&lt;&gt;"",時間編集!F13&lt;&gt;"",時間編集!E13&lt;=0.4375,時間編集!F13&gt;=0.4583333333333333),"中抜",IF(AND(時間編集!C13&lt;=0.4375,時間編集!D13&gt;=0.4583333333333333),"●","")),"")</f>
        <v/>
      </c>
      <c r="I13" s="14">
        <f>IF(AND(時間編集!C13&lt;&gt;"",時間編集!D13&lt;&gt;""),IF(AND(時間編集!E13&lt;&gt;"",時間編集!F13&lt;&gt;"",時間編集!E13&lt;=0.4583333333333333,時間編集!F13&gt;=0.4791666666666667),"中抜",IF(AND(時間編集!C13&lt;=0.4583333333333333,時間編集!D13&gt;=0.4791666666666667),"●","")),"")</f>
        <v/>
      </c>
      <c r="J13" s="14">
        <f>IF(AND(時間編集!C13&lt;&gt;"",時間編集!D13&lt;&gt;""),IF(AND(時間編集!E13&lt;&gt;"",時間編集!F13&lt;&gt;"",時間編集!E13&lt;=0.4791666666666667,時間編集!F13&gt;=0.5),"中抜",IF(AND(時間編集!C13&lt;=0.4791666666666667,時間編集!D13&gt;=0.5),"●","")),"")</f>
        <v/>
      </c>
      <c r="K13" s="14">
        <f>IF(AND(時間編集!C13&lt;&gt;"",時間編集!D13&lt;&gt;""),IF(AND(時間編集!E13&lt;&gt;"",時間編集!F13&lt;&gt;"",時間編集!E13&lt;=0.5,時間編集!F13&gt;=0.5208333333333334),"中抜",IF(AND(時間編集!C13&lt;=0.5,時間編集!D13&gt;=0.5208333333333334),"●","")),"")</f>
        <v/>
      </c>
      <c r="L13" s="14">
        <f>IF(AND(時間編集!C13&lt;&gt;"",時間編集!D13&lt;&gt;""),IF(AND(時間編集!E13&lt;&gt;"",時間編集!F13&lt;&gt;"",時間編集!E13&lt;=0.5208333333333334,時間編集!F13&gt;=0.5416666666666666),"中抜",IF(AND(時間編集!C13&lt;=0.5208333333333334,時間編集!D13&gt;=0.5416666666666666),"●","")),"")</f>
        <v/>
      </c>
      <c r="M13" s="14">
        <f>IF(AND(時間編集!C13&lt;&gt;"",時間編集!D13&lt;&gt;""),IF(AND(時間編集!E13&lt;&gt;"",時間編集!F13&lt;&gt;"",時間編集!E13&lt;=0.5416666666666666,時間編集!F13&gt;=0.5625),"中抜",IF(AND(時間編集!C13&lt;=0.5416666666666666,時間編集!D13&gt;=0.5625),"●","")),"")</f>
        <v/>
      </c>
      <c r="N13" s="14">
        <f>IF(AND(時間編集!C13&lt;&gt;"",時間編集!D13&lt;&gt;""),IF(AND(時間編集!E13&lt;&gt;"",時間編集!F13&lt;&gt;"",時間編集!E13&lt;=0.5625,時間編集!F13&gt;=0.5833333333333334),"中抜",IF(AND(時間編集!C13&lt;=0.5625,時間編集!D13&gt;=0.5833333333333334),"●","")),"")</f>
        <v/>
      </c>
      <c r="O13" s="14">
        <f>IF(AND(時間編集!C13&lt;&gt;"",時間編集!D13&lt;&gt;""),IF(AND(時間編集!E13&lt;&gt;"",時間編集!F13&lt;&gt;"",時間編集!E13&lt;=0.5833333333333334,時間編集!F13&gt;=0.6041666666666666),"中抜",IF(AND(時間編集!C13&lt;=0.5833333333333334,時間編集!D13&gt;=0.6041666666666666),"●","")),"")</f>
        <v/>
      </c>
      <c r="P13" s="14">
        <f>IF(AND(時間編集!C13&lt;&gt;"",時間編集!D13&lt;&gt;""),IF(AND(時間編集!E13&lt;&gt;"",時間編集!F13&lt;&gt;"",時間編集!E13&lt;=0.6041666666666666,時間編集!F13&gt;=0.625),"中抜",IF(AND(時間編集!C13&lt;=0.6041666666666666,時間編集!D13&gt;=0.625),"●","")),"")</f>
        <v/>
      </c>
      <c r="Q13" s="14">
        <f>IF(AND(時間編集!C13&lt;&gt;"",時間編集!D13&lt;&gt;""),IF(AND(時間編集!E13&lt;&gt;"",時間編集!F13&lt;&gt;"",時間編集!E13&lt;=0.625,時間編集!F13&gt;=0.6458333333333334),"中抜",IF(AND(時間編集!C13&lt;=0.625,時間編集!D13&gt;=0.6458333333333334),"●","")),"")</f>
        <v/>
      </c>
      <c r="R13" s="14">
        <f>IF(AND(時間編集!C13&lt;&gt;"",時間編集!D13&lt;&gt;""),IF(AND(時間編集!E13&lt;&gt;"",時間編集!F13&lt;&gt;"",時間編集!E13&lt;=0.6458333333333334,時間編集!F13&gt;=0.6666666666666666),"中抜",IF(AND(時間編集!C13&lt;=0.6458333333333334,時間編集!D13&gt;=0.6666666666666666),"●","")),"")</f>
        <v/>
      </c>
      <c r="S13" s="14">
        <f>IF(AND(時間編集!C13&lt;&gt;"",時間編集!D13&lt;&gt;""),IF(AND(時間編集!E13&lt;&gt;"",時間編集!F13&lt;&gt;"",時間編集!E13&lt;=0.6666666666666666,時間編集!F13&gt;=0.6875),"中抜",IF(AND(時間編集!C13&lt;=0.6666666666666666,時間編集!D13&gt;=0.6875),"●","")),"")</f>
        <v/>
      </c>
      <c r="T13" s="14">
        <f>IF(AND(時間編集!C13&lt;&gt;"",時間編集!D13&lt;&gt;""),IF(AND(時間編集!E13&lt;&gt;"",時間編集!F13&lt;&gt;"",時間編集!E13&lt;=0.6875,時間編集!F13&gt;=0.7083333333333334),"中抜",IF(AND(時間編集!C13&lt;=0.6875,時間編集!D13&gt;=0.7083333333333334),"●","")),"")</f>
        <v/>
      </c>
      <c r="U13" s="14">
        <f>IF(AND(時間編集!C13&lt;&gt;"",時間編集!D13&lt;&gt;""),IF(AND(時間編集!E13&lt;&gt;"",時間編集!F13&lt;&gt;"",時間編集!E13&lt;=0.7083333333333334,時間編集!F13&gt;=0.7291666666666666),"中抜",IF(AND(時間編集!C13&lt;=0.7083333333333334,時間編集!D13&gt;=0.7291666666666666),"●","")),"")</f>
        <v/>
      </c>
      <c r="V13" s="14">
        <f>IF(AND(時間編集!C13&lt;&gt;"",時間編集!D13&lt;&gt;""),IF(AND(時間編集!E13&lt;&gt;"",時間編集!F13&lt;&gt;"",時間編集!E13&lt;=0.7291666666666666,時間編集!F13&gt;=0.75),"中抜",IF(AND(時間編集!C13&lt;=0.7291666666666666,時間編集!D13&gt;=0.75),"●","")),"")</f>
        <v/>
      </c>
      <c r="W13" s="14">
        <f>IF(AND(時間編集!C13&lt;&gt;"",時間編集!D13&lt;&gt;""),IF(AND(時間編集!E13&lt;&gt;"",時間編集!F13&lt;&gt;"",時間編集!E13&lt;=0.75,時間編集!F13&gt;=0.7708333333333334),"中抜",IF(AND(時間編集!C13&lt;=0.75,時間編集!D13&gt;=0.7708333333333334),"●","")),"")</f>
        <v/>
      </c>
      <c r="X13" s="14">
        <f>IF(AND(時間編集!C13&lt;&gt;"",時間編集!D13&lt;&gt;""),IF(AND(時間編集!E13&lt;&gt;"",時間編集!F13&lt;&gt;"",時間編集!E13&lt;=0.7708333333333334,時間編集!F13&gt;=0.7916666666666666),"中抜",IF(AND(時間編集!C13&lt;=0.7708333333333334,時間編集!D13&gt;=0.7916666666666666),"●","")),"")</f>
        <v/>
      </c>
    </row>
    <row r="14" ht="18" customHeight="1">
      <c r="A14" s="8" t="n"/>
      <c r="B14" s="5" t="inlineStr">
        <is>
          <t>木</t>
        </is>
      </c>
      <c r="C14" s="14">
        <f>IF(AND(時間編集!C14&lt;&gt;"",時間編集!D14&lt;&gt;""),IF(AND(時間編集!E14&lt;&gt;"",時間編集!F14&lt;&gt;"",時間編集!E14&lt;=0.3333333333333333,時間編集!F14&gt;=0.3541666666666667),"中抜",IF(AND(時間編集!C14&lt;=0.3333333333333333,時間編集!D14&gt;=0.3541666666666667),"●","")),"")</f>
        <v/>
      </c>
      <c r="D14" s="14">
        <f>IF(AND(時間編集!C14&lt;&gt;"",時間編集!D14&lt;&gt;""),IF(AND(時間編集!E14&lt;&gt;"",時間編集!F14&lt;&gt;"",時間編集!E14&lt;=0.3541666666666667,時間編集!F14&gt;=0.375),"中抜",IF(AND(時間編集!C14&lt;=0.3541666666666667,時間編集!D14&gt;=0.375),"●","")),"")</f>
        <v/>
      </c>
      <c r="E14" s="14">
        <f>IF(AND(時間編集!C14&lt;&gt;"",時間編集!D14&lt;&gt;""),IF(AND(時間編集!E14&lt;&gt;"",時間編集!F14&lt;&gt;"",時間編集!E14&lt;=0.375,時間編集!F14&gt;=0.3958333333333333),"中抜",IF(AND(時間編集!C14&lt;=0.375,時間編集!D14&gt;=0.3958333333333333),"●","")),"")</f>
        <v/>
      </c>
      <c r="F14" s="14">
        <f>IF(AND(時間編集!C14&lt;&gt;"",時間編集!D14&lt;&gt;""),IF(AND(時間編集!E14&lt;&gt;"",時間編集!F14&lt;&gt;"",時間編集!E14&lt;=0.3958333333333333,時間編集!F14&gt;=0.4166666666666667),"中抜",IF(AND(時間編集!C14&lt;=0.3958333333333333,時間編集!D14&gt;=0.4166666666666667),"●","")),"")</f>
        <v/>
      </c>
      <c r="G14" s="14">
        <f>IF(AND(時間編集!C14&lt;&gt;"",時間編集!D14&lt;&gt;""),IF(AND(時間編集!E14&lt;&gt;"",時間編集!F14&lt;&gt;"",時間編集!E14&lt;=0.4166666666666667,時間編集!F14&gt;=0.4375),"中抜",IF(AND(時間編集!C14&lt;=0.4166666666666667,時間編集!D14&gt;=0.4375),"●","")),"")</f>
        <v/>
      </c>
      <c r="H14" s="14">
        <f>IF(AND(時間編集!C14&lt;&gt;"",時間編集!D14&lt;&gt;""),IF(AND(時間編集!E14&lt;&gt;"",時間編集!F14&lt;&gt;"",時間編集!E14&lt;=0.4375,時間編集!F14&gt;=0.4583333333333333),"中抜",IF(AND(時間編集!C14&lt;=0.4375,時間編集!D14&gt;=0.4583333333333333),"●","")),"")</f>
        <v/>
      </c>
      <c r="I14" s="14">
        <f>IF(AND(時間編集!C14&lt;&gt;"",時間編集!D14&lt;&gt;""),IF(AND(時間編集!E14&lt;&gt;"",時間編集!F14&lt;&gt;"",時間編集!E14&lt;=0.4583333333333333,時間編集!F14&gt;=0.4791666666666667),"中抜",IF(AND(時間編集!C14&lt;=0.4583333333333333,時間編集!D14&gt;=0.4791666666666667),"●","")),"")</f>
        <v/>
      </c>
      <c r="J14" s="14">
        <f>IF(AND(時間編集!C14&lt;&gt;"",時間編集!D14&lt;&gt;""),IF(AND(時間編集!E14&lt;&gt;"",時間編集!F14&lt;&gt;"",時間編集!E14&lt;=0.4791666666666667,時間編集!F14&gt;=0.5),"中抜",IF(AND(時間編集!C14&lt;=0.4791666666666667,時間編集!D14&gt;=0.5),"●","")),"")</f>
        <v/>
      </c>
      <c r="K14" s="14">
        <f>IF(AND(時間編集!C14&lt;&gt;"",時間編集!D14&lt;&gt;""),IF(AND(時間編集!E14&lt;&gt;"",時間編集!F14&lt;&gt;"",時間編集!E14&lt;=0.5,時間編集!F14&gt;=0.5208333333333334),"中抜",IF(AND(時間編集!C14&lt;=0.5,時間編集!D14&gt;=0.5208333333333334),"●","")),"")</f>
        <v/>
      </c>
      <c r="L14" s="14">
        <f>IF(AND(時間編集!C14&lt;&gt;"",時間編集!D14&lt;&gt;""),IF(AND(時間編集!E14&lt;&gt;"",時間編集!F14&lt;&gt;"",時間編集!E14&lt;=0.5208333333333334,時間編集!F14&gt;=0.5416666666666666),"中抜",IF(AND(時間編集!C14&lt;=0.5208333333333334,時間編集!D14&gt;=0.5416666666666666),"●","")),"")</f>
        <v/>
      </c>
      <c r="M14" s="14">
        <f>IF(AND(時間編集!C14&lt;&gt;"",時間編集!D14&lt;&gt;""),IF(AND(時間編集!E14&lt;&gt;"",時間編集!F14&lt;&gt;"",時間編集!E14&lt;=0.5416666666666666,時間編集!F14&gt;=0.5625),"中抜",IF(AND(時間編集!C14&lt;=0.5416666666666666,時間編集!D14&gt;=0.5625),"●","")),"")</f>
        <v/>
      </c>
      <c r="N14" s="14">
        <f>IF(AND(時間編集!C14&lt;&gt;"",時間編集!D14&lt;&gt;""),IF(AND(時間編集!E14&lt;&gt;"",時間編集!F14&lt;&gt;"",時間編集!E14&lt;=0.5625,時間編集!F14&gt;=0.5833333333333334),"中抜",IF(AND(時間編集!C14&lt;=0.5625,時間編集!D14&gt;=0.5833333333333334),"●","")),"")</f>
        <v/>
      </c>
      <c r="O14" s="14">
        <f>IF(AND(時間編集!C14&lt;&gt;"",時間編集!D14&lt;&gt;""),IF(AND(時間編集!E14&lt;&gt;"",時間編集!F14&lt;&gt;"",時間編集!E14&lt;=0.5833333333333334,時間編集!F14&gt;=0.6041666666666666),"中抜",IF(AND(時間編集!C14&lt;=0.5833333333333334,時間編集!D14&gt;=0.6041666666666666),"●","")),"")</f>
        <v/>
      </c>
      <c r="P14" s="14">
        <f>IF(AND(時間編集!C14&lt;&gt;"",時間編集!D14&lt;&gt;""),IF(AND(時間編集!E14&lt;&gt;"",時間編集!F14&lt;&gt;"",時間編集!E14&lt;=0.6041666666666666,時間編集!F14&gt;=0.625),"中抜",IF(AND(時間編集!C14&lt;=0.6041666666666666,時間編集!D14&gt;=0.625),"●","")),"")</f>
        <v/>
      </c>
      <c r="Q14" s="14">
        <f>IF(AND(時間編集!C14&lt;&gt;"",時間編集!D14&lt;&gt;""),IF(AND(時間編集!E14&lt;&gt;"",時間編集!F14&lt;&gt;"",時間編集!E14&lt;=0.625,時間編集!F14&gt;=0.6458333333333334),"中抜",IF(AND(時間編集!C14&lt;=0.625,時間編集!D14&gt;=0.6458333333333334),"●","")),"")</f>
        <v/>
      </c>
      <c r="R14" s="14">
        <f>IF(AND(時間編集!C14&lt;&gt;"",時間編集!D14&lt;&gt;""),IF(AND(時間編集!E14&lt;&gt;"",時間編集!F14&lt;&gt;"",時間編集!E14&lt;=0.6458333333333334,時間編集!F14&gt;=0.6666666666666666),"中抜",IF(AND(時間編集!C14&lt;=0.6458333333333334,時間編集!D14&gt;=0.6666666666666666),"●","")),"")</f>
        <v/>
      </c>
      <c r="S14" s="14">
        <f>IF(AND(時間編集!C14&lt;&gt;"",時間編集!D14&lt;&gt;""),IF(AND(時間編集!E14&lt;&gt;"",時間編集!F14&lt;&gt;"",時間編集!E14&lt;=0.6666666666666666,時間編集!F14&gt;=0.6875),"中抜",IF(AND(時間編集!C14&lt;=0.6666666666666666,時間編集!D14&gt;=0.6875),"●","")),"")</f>
        <v/>
      </c>
      <c r="T14" s="14">
        <f>IF(AND(時間編集!C14&lt;&gt;"",時間編集!D14&lt;&gt;""),IF(AND(時間編集!E14&lt;&gt;"",時間編集!F14&lt;&gt;"",時間編集!E14&lt;=0.6875,時間編集!F14&gt;=0.7083333333333334),"中抜",IF(AND(時間編集!C14&lt;=0.6875,時間編集!D14&gt;=0.7083333333333334),"●","")),"")</f>
        <v/>
      </c>
      <c r="U14" s="14">
        <f>IF(AND(時間編集!C14&lt;&gt;"",時間編集!D14&lt;&gt;""),IF(AND(時間編集!E14&lt;&gt;"",時間編集!F14&lt;&gt;"",時間編集!E14&lt;=0.7083333333333334,時間編集!F14&gt;=0.7291666666666666),"中抜",IF(AND(時間編集!C14&lt;=0.7083333333333334,時間編集!D14&gt;=0.7291666666666666),"●","")),"")</f>
        <v/>
      </c>
      <c r="V14" s="14">
        <f>IF(AND(時間編集!C14&lt;&gt;"",時間編集!D14&lt;&gt;""),IF(AND(時間編集!E14&lt;&gt;"",時間編集!F14&lt;&gt;"",時間編集!E14&lt;=0.7291666666666666,時間編集!F14&gt;=0.75),"中抜",IF(AND(時間編集!C14&lt;=0.7291666666666666,時間編集!D14&gt;=0.75),"●","")),"")</f>
        <v/>
      </c>
      <c r="W14" s="14">
        <f>IF(AND(時間編集!C14&lt;&gt;"",時間編集!D14&lt;&gt;""),IF(AND(時間編集!E14&lt;&gt;"",時間編集!F14&lt;&gt;"",時間編集!E14&lt;=0.75,時間編集!F14&gt;=0.7708333333333334),"中抜",IF(AND(時間編集!C14&lt;=0.75,時間編集!D14&gt;=0.7708333333333334),"●","")),"")</f>
        <v/>
      </c>
      <c r="X14" s="14">
        <f>IF(AND(時間編集!C14&lt;&gt;"",時間編集!D14&lt;&gt;""),IF(AND(時間編集!E14&lt;&gt;"",時間編集!F14&lt;&gt;"",時間編集!E14&lt;=0.7708333333333334,時間編集!F14&gt;=0.7916666666666666),"中抜",IF(AND(時間編集!C14&lt;=0.7708333333333334,時間編集!D14&gt;=0.7916666666666666),"●","")),"")</f>
        <v/>
      </c>
    </row>
    <row r="15" ht="18" customHeight="1">
      <c r="A15" s="8" t="n"/>
      <c r="B15" s="5" t="inlineStr">
        <is>
          <t>金</t>
        </is>
      </c>
      <c r="C15" s="14">
        <f>IF(AND(時間編集!C15&lt;&gt;"",時間編集!D15&lt;&gt;""),IF(AND(時間編集!E15&lt;&gt;"",時間編集!F15&lt;&gt;"",時間編集!E15&lt;=0.3333333333333333,時間編集!F15&gt;=0.3541666666666667),"中抜",IF(AND(時間編集!C15&lt;=0.3333333333333333,時間編集!D15&gt;=0.3541666666666667),"●","")),"")</f>
        <v/>
      </c>
      <c r="D15" s="14">
        <f>IF(AND(時間編集!C15&lt;&gt;"",時間編集!D15&lt;&gt;""),IF(AND(時間編集!E15&lt;&gt;"",時間編集!F15&lt;&gt;"",時間編集!E15&lt;=0.3541666666666667,時間編集!F15&gt;=0.375),"中抜",IF(AND(時間編集!C15&lt;=0.3541666666666667,時間編集!D15&gt;=0.375),"●","")),"")</f>
        <v/>
      </c>
      <c r="E15" s="14">
        <f>IF(AND(時間編集!C15&lt;&gt;"",時間編集!D15&lt;&gt;""),IF(AND(時間編集!E15&lt;&gt;"",時間編集!F15&lt;&gt;"",時間編集!E15&lt;=0.375,時間編集!F15&gt;=0.3958333333333333),"中抜",IF(AND(時間編集!C15&lt;=0.375,時間編集!D15&gt;=0.3958333333333333),"●","")),"")</f>
        <v/>
      </c>
      <c r="F15" s="14">
        <f>IF(AND(時間編集!C15&lt;&gt;"",時間編集!D15&lt;&gt;""),IF(AND(時間編集!E15&lt;&gt;"",時間編集!F15&lt;&gt;"",時間編集!E15&lt;=0.3958333333333333,時間編集!F15&gt;=0.4166666666666667),"中抜",IF(AND(時間編集!C15&lt;=0.3958333333333333,時間編集!D15&gt;=0.4166666666666667),"●","")),"")</f>
        <v/>
      </c>
      <c r="G15" s="14">
        <f>IF(AND(時間編集!C15&lt;&gt;"",時間編集!D15&lt;&gt;""),IF(AND(時間編集!E15&lt;&gt;"",時間編集!F15&lt;&gt;"",時間編集!E15&lt;=0.4166666666666667,時間編集!F15&gt;=0.4375),"中抜",IF(AND(時間編集!C15&lt;=0.4166666666666667,時間編集!D15&gt;=0.4375),"●","")),"")</f>
        <v/>
      </c>
      <c r="H15" s="14">
        <f>IF(AND(時間編集!C15&lt;&gt;"",時間編集!D15&lt;&gt;""),IF(AND(時間編集!E15&lt;&gt;"",時間編集!F15&lt;&gt;"",時間編集!E15&lt;=0.4375,時間編集!F15&gt;=0.4583333333333333),"中抜",IF(AND(時間編集!C15&lt;=0.4375,時間編集!D15&gt;=0.4583333333333333),"●","")),"")</f>
        <v/>
      </c>
      <c r="I15" s="14">
        <f>IF(AND(時間編集!C15&lt;&gt;"",時間編集!D15&lt;&gt;""),IF(AND(時間編集!E15&lt;&gt;"",時間編集!F15&lt;&gt;"",時間編集!E15&lt;=0.4583333333333333,時間編集!F15&gt;=0.4791666666666667),"中抜",IF(AND(時間編集!C15&lt;=0.4583333333333333,時間編集!D15&gt;=0.4791666666666667),"●","")),"")</f>
        <v/>
      </c>
      <c r="J15" s="14">
        <f>IF(AND(時間編集!C15&lt;&gt;"",時間編集!D15&lt;&gt;""),IF(AND(時間編集!E15&lt;&gt;"",時間編集!F15&lt;&gt;"",時間編集!E15&lt;=0.4791666666666667,時間編集!F15&gt;=0.5),"中抜",IF(AND(時間編集!C15&lt;=0.4791666666666667,時間編集!D15&gt;=0.5),"●","")),"")</f>
        <v/>
      </c>
      <c r="K15" s="14">
        <f>IF(AND(時間編集!C15&lt;&gt;"",時間編集!D15&lt;&gt;""),IF(AND(時間編集!E15&lt;&gt;"",時間編集!F15&lt;&gt;"",時間編集!E15&lt;=0.5,時間編集!F15&gt;=0.5208333333333334),"中抜",IF(AND(時間編集!C15&lt;=0.5,時間編集!D15&gt;=0.5208333333333334),"●","")),"")</f>
        <v/>
      </c>
      <c r="L15" s="14">
        <f>IF(AND(時間編集!C15&lt;&gt;"",時間編集!D15&lt;&gt;""),IF(AND(時間編集!E15&lt;&gt;"",時間編集!F15&lt;&gt;"",時間編集!E15&lt;=0.5208333333333334,時間編集!F15&gt;=0.5416666666666666),"中抜",IF(AND(時間編集!C15&lt;=0.5208333333333334,時間編集!D15&gt;=0.5416666666666666),"●","")),"")</f>
        <v/>
      </c>
      <c r="M15" s="14">
        <f>IF(AND(時間編集!C15&lt;&gt;"",時間編集!D15&lt;&gt;""),IF(AND(時間編集!E15&lt;&gt;"",時間編集!F15&lt;&gt;"",時間編集!E15&lt;=0.5416666666666666,時間編集!F15&gt;=0.5625),"中抜",IF(AND(時間編集!C15&lt;=0.5416666666666666,時間編集!D15&gt;=0.5625),"●","")),"")</f>
        <v/>
      </c>
      <c r="N15" s="14">
        <f>IF(AND(時間編集!C15&lt;&gt;"",時間編集!D15&lt;&gt;""),IF(AND(時間編集!E15&lt;&gt;"",時間編集!F15&lt;&gt;"",時間編集!E15&lt;=0.5625,時間編集!F15&gt;=0.5833333333333334),"中抜",IF(AND(時間編集!C15&lt;=0.5625,時間編集!D15&gt;=0.5833333333333334),"●","")),"")</f>
        <v/>
      </c>
      <c r="O15" s="14">
        <f>IF(AND(時間編集!C15&lt;&gt;"",時間編集!D15&lt;&gt;""),IF(AND(時間編集!E15&lt;&gt;"",時間編集!F15&lt;&gt;"",時間編集!E15&lt;=0.5833333333333334,時間編集!F15&gt;=0.6041666666666666),"中抜",IF(AND(時間編集!C15&lt;=0.5833333333333334,時間編集!D15&gt;=0.6041666666666666),"●","")),"")</f>
        <v/>
      </c>
      <c r="P15" s="14">
        <f>IF(AND(時間編集!C15&lt;&gt;"",時間編集!D15&lt;&gt;""),IF(AND(時間編集!E15&lt;&gt;"",時間編集!F15&lt;&gt;"",時間編集!E15&lt;=0.6041666666666666,時間編集!F15&gt;=0.625),"中抜",IF(AND(時間編集!C15&lt;=0.6041666666666666,時間編集!D15&gt;=0.625),"●","")),"")</f>
        <v/>
      </c>
      <c r="Q15" s="14">
        <f>IF(AND(時間編集!C15&lt;&gt;"",時間編集!D15&lt;&gt;""),IF(AND(時間編集!E15&lt;&gt;"",時間編集!F15&lt;&gt;"",時間編集!E15&lt;=0.625,時間編集!F15&gt;=0.6458333333333334),"中抜",IF(AND(時間編集!C15&lt;=0.625,時間編集!D15&gt;=0.6458333333333334),"●","")),"")</f>
        <v/>
      </c>
      <c r="R15" s="14">
        <f>IF(AND(時間編集!C15&lt;&gt;"",時間編集!D15&lt;&gt;""),IF(AND(時間編集!E15&lt;&gt;"",時間編集!F15&lt;&gt;"",時間編集!E15&lt;=0.6458333333333334,時間編集!F15&gt;=0.6666666666666666),"中抜",IF(AND(時間編集!C15&lt;=0.6458333333333334,時間編集!D15&gt;=0.6666666666666666),"●","")),"")</f>
        <v/>
      </c>
      <c r="S15" s="14">
        <f>IF(AND(時間編集!C15&lt;&gt;"",時間編集!D15&lt;&gt;""),IF(AND(時間編集!E15&lt;&gt;"",時間編集!F15&lt;&gt;"",時間編集!E15&lt;=0.6666666666666666,時間編集!F15&gt;=0.6875),"中抜",IF(AND(時間編集!C15&lt;=0.6666666666666666,時間編集!D15&gt;=0.6875),"●","")),"")</f>
        <v/>
      </c>
      <c r="T15" s="14">
        <f>IF(AND(時間編集!C15&lt;&gt;"",時間編集!D15&lt;&gt;""),IF(AND(時間編集!E15&lt;&gt;"",時間編集!F15&lt;&gt;"",時間編集!E15&lt;=0.6875,時間編集!F15&gt;=0.7083333333333334),"中抜",IF(AND(時間編集!C15&lt;=0.6875,時間編集!D15&gt;=0.7083333333333334),"●","")),"")</f>
        <v/>
      </c>
      <c r="U15" s="14">
        <f>IF(AND(時間編集!C15&lt;&gt;"",時間編集!D15&lt;&gt;""),IF(AND(時間編集!E15&lt;&gt;"",時間編集!F15&lt;&gt;"",時間編集!E15&lt;=0.7083333333333334,時間編集!F15&gt;=0.7291666666666666),"中抜",IF(AND(時間編集!C15&lt;=0.7083333333333334,時間編集!D15&gt;=0.7291666666666666),"●","")),"")</f>
        <v/>
      </c>
      <c r="V15" s="14">
        <f>IF(AND(時間編集!C15&lt;&gt;"",時間編集!D15&lt;&gt;""),IF(AND(時間編集!E15&lt;&gt;"",時間編集!F15&lt;&gt;"",時間編集!E15&lt;=0.7291666666666666,時間編集!F15&gt;=0.75),"中抜",IF(AND(時間編集!C15&lt;=0.7291666666666666,時間編集!D15&gt;=0.75),"●","")),"")</f>
        <v/>
      </c>
      <c r="W15" s="14">
        <f>IF(AND(時間編集!C15&lt;&gt;"",時間編集!D15&lt;&gt;""),IF(AND(時間編集!E15&lt;&gt;"",時間編集!F15&lt;&gt;"",時間編集!E15&lt;=0.75,時間編集!F15&gt;=0.7708333333333334),"中抜",IF(AND(時間編集!C15&lt;=0.75,時間編集!D15&gt;=0.7708333333333334),"●","")),"")</f>
        <v/>
      </c>
      <c r="X15" s="14">
        <f>IF(AND(時間編集!C15&lt;&gt;"",時間編集!D15&lt;&gt;""),IF(AND(時間編集!E15&lt;&gt;"",時間編集!F15&lt;&gt;"",時間編集!E15&lt;=0.7708333333333334,時間編集!F15&gt;=0.7916666666666666),"中抜",IF(AND(時間編集!C15&lt;=0.7708333333333334,時間編集!D15&gt;=0.7916666666666666),"●","")),"")</f>
        <v/>
      </c>
    </row>
    <row r="16" ht="18" customHeight="1">
      <c r="A16" s="8" t="n"/>
      <c r="B16" s="5" t="inlineStr">
        <is>
          <t>土</t>
        </is>
      </c>
      <c r="C16" s="14">
        <f>IF(AND(時間編集!C16&lt;&gt;"",時間編集!D16&lt;&gt;""),IF(AND(時間編集!E16&lt;&gt;"",時間編集!F16&lt;&gt;"",時間編集!E16&lt;=0.3333333333333333,時間編集!F16&gt;=0.3541666666666667),"中抜",IF(AND(時間編集!C16&lt;=0.3333333333333333,時間編集!D16&gt;=0.3541666666666667),"●","")),"")</f>
        <v/>
      </c>
      <c r="D16" s="14">
        <f>IF(AND(時間編集!C16&lt;&gt;"",時間編集!D16&lt;&gt;""),IF(AND(時間編集!E16&lt;&gt;"",時間編集!F16&lt;&gt;"",時間編集!E16&lt;=0.3541666666666667,時間編集!F16&gt;=0.375),"中抜",IF(AND(時間編集!C16&lt;=0.3541666666666667,時間編集!D16&gt;=0.375),"●","")),"")</f>
        <v/>
      </c>
      <c r="E16" s="14">
        <f>IF(AND(時間編集!C16&lt;&gt;"",時間編集!D16&lt;&gt;""),IF(AND(時間編集!E16&lt;&gt;"",時間編集!F16&lt;&gt;"",時間編集!E16&lt;=0.375,時間編集!F16&gt;=0.3958333333333333),"中抜",IF(AND(時間編集!C16&lt;=0.375,時間編集!D16&gt;=0.3958333333333333),"●","")),"")</f>
        <v/>
      </c>
      <c r="F16" s="14">
        <f>IF(AND(時間編集!C16&lt;&gt;"",時間編集!D16&lt;&gt;""),IF(AND(時間編集!E16&lt;&gt;"",時間編集!F16&lt;&gt;"",時間編集!E16&lt;=0.3958333333333333,時間編集!F16&gt;=0.4166666666666667),"中抜",IF(AND(時間編集!C16&lt;=0.3958333333333333,時間編集!D16&gt;=0.4166666666666667),"●","")),"")</f>
        <v/>
      </c>
      <c r="G16" s="14">
        <f>IF(AND(時間編集!C16&lt;&gt;"",時間編集!D16&lt;&gt;""),IF(AND(時間編集!E16&lt;&gt;"",時間編集!F16&lt;&gt;"",時間編集!E16&lt;=0.4166666666666667,時間編集!F16&gt;=0.4375),"中抜",IF(AND(時間編集!C16&lt;=0.4166666666666667,時間編集!D16&gt;=0.4375),"●","")),"")</f>
        <v/>
      </c>
      <c r="H16" s="14">
        <f>IF(AND(時間編集!C16&lt;&gt;"",時間編集!D16&lt;&gt;""),IF(AND(時間編集!E16&lt;&gt;"",時間編集!F16&lt;&gt;"",時間編集!E16&lt;=0.4375,時間編集!F16&gt;=0.4583333333333333),"中抜",IF(AND(時間編集!C16&lt;=0.4375,時間編集!D16&gt;=0.4583333333333333),"●","")),"")</f>
        <v/>
      </c>
      <c r="I16" s="14">
        <f>IF(AND(時間編集!C16&lt;&gt;"",時間編集!D16&lt;&gt;""),IF(AND(時間編集!E16&lt;&gt;"",時間編集!F16&lt;&gt;"",時間編集!E16&lt;=0.4583333333333333,時間編集!F16&gt;=0.4791666666666667),"中抜",IF(AND(時間編集!C16&lt;=0.4583333333333333,時間編集!D16&gt;=0.4791666666666667),"●","")),"")</f>
        <v/>
      </c>
      <c r="J16" s="14">
        <f>IF(AND(時間編集!C16&lt;&gt;"",時間編集!D16&lt;&gt;""),IF(AND(時間編集!E16&lt;&gt;"",時間編集!F16&lt;&gt;"",時間編集!E16&lt;=0.4791666666666667,時間編集!F16&gt;=0.5),"中抜",IF(AND(時間編集!C16&lt;=0.4791666666666667,時間編集!D16&gt;=0.5),"●","")),"")</f>
        <v/>
      </c>
      <c r="K16" s="14">
        <f>IF(AND(時間編集!C16&lt;&gt;"",時間編集!D16&lt;&gt;""),IF(AND(時間編集!E16&lt;&gt;"",時間編集!F16&lt;&gt;"",時間編集!E16&lt;=0.5,時間編集!F16&gt;=0.5208333333333334),"中抜",IF(AND(時間編集!C16&lt;=0.5,時間編集!D16&gt;=0.5208333333333334),"●","")),"")</f>
        <v/>
      </c>
      <c r="L16" s="14">
        <f>IF(AND(時間編集!C16&lt;&gt;"",時間編集!D16&lt;&gt;""),IF(AND(時間編集!E16&lt;&gt;"",時間編集!F16&lt;&gt;"",時間編集!E16&lt;=0.5208333333333334,時間編集!F16&gt;=0.5416666666666666),"中抜",IF(AND(時間編集!C16&lt;=0.5208333333333334,時間編集!D16&gt;=0.5416666666666666),"●","")),"")</f>
        <v/>
      </c>
      <c r="M16" s="14">
        <f>IF(AND(時間編集!C16&lt;&gt;"",時間編集!D16&lt;&gt;""),IF(AND(時間編集!E16&lt;&gt;"",時間編集!F16&lt;&gt;"",時間編集!E16&lt;=0.5416666666666666,時間編集!F16&gt;=0.5625),"中抜",IF(AND(時間編集!C16&lt;=0.5416666666666666,時間編集!D16&gt;=0.5625),"●","")),"")</f>
        <v/>
      </c>
      <c r="N16" s="14">
        <f>IF(AND(時間編集!C16&lt;&gt;"",時間編集!D16&lt;&gt;""),IF(AND(時間編集!E16&lt;&gt;"",時間編集!F16&lt;&gt;"",時間編集!E16&lt;=0.5625,時間編集!F16&gt;=0.5833333333333334),"中抜",IF(AND(時間編集!C16&lt;=0.5625,時間編集!D16&gt;=0.5833333333333334),"●","")),"")</f>
        <v/>
      </c>
      <c r="O16" s="14">
        <f>IF(AND(時間編集!C16&lt;&gt;"",時間編集!D16&lt;&gt;""),IF(AND(時間編集!E16&lt;&gt;"",時間編集!F16&lt;&gt;"",時間編集!E16&lt;=0.5833333333333334,時間編集!F16&gt;=0.6041666666666666),"中抜",IF(AND(時間編集!C16&lt;=0.5833333333333334,時間編集!D16&gt;=0.6041666666666666),"●","")),"")</f>
        <v/>
      </c>
      <c r="P16" s="14">
        <f>IF(AND(時間編集!C16&lt;&gt;"",時間編集!D16&lt;&gt;""),IF(AND(時間編集!E16&lt;&gt;"",時間編集!F16&lt;&gt;"",時間編集!E16&lt;=0.6041666666666666,時間編集!F16&gt;=0.625),"中抜",IF(AND(時間編集!C16&lt;=0.6041666666666666,時間編集!D16&gt;=0.625),"●","")),"")</f>
        <v/>
      </c>
      <c r="Q16" s="14">
        <f>IF(AND(時間編集!C16&lt;&gt;"",時間編集!D16&lt;&gt;""),IF(AND(時間編集!E16&lt;&gt;"",時間編集!F16&lt;&gt;"",時間編集!E16&lt;=0.625,時間編集!F16&gt;=0.6458333333333334),"中抜",IF(AND(時間編集!C16&lt;=0.625,時間編集!D16&gt;=0.6458333333333334),"●","")),"")</f>
        <v/>
      </c>
      <c r="R16" s="14">
        <f>IF(AND(時間編集!C16&lt;&gt;"",時間編集!D16&lt;&gt;""),IF(AND(時間編集!E16&lt;&gt;"",時間編集!F16&lt;&gt;"",時間編集!E16&lt;=0.6458333333333334,時間編集!F16&gt;=0.6666666666666666),"中抜",IF(AND(時間編集!C16&lt;=0.6458333333333334,時間編集!D16&gt;=0.6666666666666666),"●","")),"")</f>
        <v/>
      </c>
      <c r="S16" s="14">
        <f>IF(AND(時間編集!C16&lt;&gt;"",時間編集!D16&lt;&gt;""),IF(AND(時間編集!E16&lt;&gt;"",時間編集!F16&lt;&gt;"",時間編集!E16&lt;=0.6666666666666666,時間編集!F16&gt;=0.6875),"中抜",IF(AND(時間編集!C16&lt;=0.6666666666666666,時間編集!D16&gt;=0.6875),"●","")),"")</f>
        <v/>
      </c>
      <c r="T16" s="14">
        <f>IF(AND(時間編集!C16&lt;&gt;"",時間編集!D16&lt;&gt;""),IF(AND(時間編集!E16&lt;&gt;"",時間編集!F16&lt;&gt;"",時間編集!E16&lt;=0.6875,時間編集!F16&gt;=0.7083333333333334),"中抜",IF(AND(時間編集!C16&lt;=0.6875,時間編集!D16&gt;=0.7083333333333334),"●","")),"")</f>
        <v/>
      </c>
      <c r="U16" s="14">
        <f>IF(AND(時間編集!C16&lt;&gt;"",時間編集!D16&lt;&gt;""),IF(AND(時間編集!E16&lt;&gt;"",時間編集!F16&lt;&gt;"",時間編集!E16&lt;=0.7083333333333334,時間編集!F16&gt;=0.7291666666666666),"中抜",IF(AND(時間編集!C16&lt;=0.7083333333333334,時間編集!D16&gt;=0.7291666666666666),"●","")),"")</f>
        <v/>
      </c>
      <c r="V16" s="14">
        <f>IF(AND(時間編集!C16&lt;&gt;"",時間編集!D16&lt;&gt;""),IF(AND(時間編集!E16&lt;&gt;"",時間編集!F16&lt;&gt;"",時間編集!E16&lt;=0.7291666666666666,時間編集!F16&gt;=0.75),"中抜",IF(AND(時間編集!C16&lt;=0.7291666666666666,時間編集!D16&gt;=0.75),"●","")),"")</f>
        <v/>
      </c>
      <c r="W16" s="14">
        <f>IF(AND(時間編集!C16&lt;&gt;"",時間編集!D16&lt;&gt;""),IF(AND(時間編集!E16&lt;&gt;"",時間編集!F16&lt;&gt;"",時間編集!E16&lt;=0.75,時間編集!F16&gt;=0.7708333333333334),"中抜",IF(AND(時間編集!C16&lt;=0.75,時間編集!D16&gt;=0.7708333333333334),"●","")),"")</f>
        <v/>
      </c>
      <c r="X16" s="14">
        <f>IF(AND(時間編集!C16&lt;&gt;"",時間編集!D16&lt;&gt;""),IF(AND(時間編集!E16&lt;&gt;"",時間編集!F16&lt;&gt;"",時間編集!E16&lt;=0.7708333333333334,時間編集!F16&gt;=0.7916666666666666),"中抜",IF(AND(時間編集!C16&lt;=0.7708333333333334,時間編集!D16&gt;=0.7916666666666666),"●","")),"")</f>
        <v/>
      </c>
    </row>
    <row r="17" ht="18" customHeight="1">
      <c r="A17" s="9" t="n"/>
      <c r="B17" s="5" t="inlineStr">
        <is>
          <t>日</t>
        </is>
      </c>
      <c r="C17" s="14">
        <f>IF(AND(時間編集!C17&lt;&gt;"",時間編集!D17&lt;&gt;""),IF(AND(時間編集!E17&lt;&gt;"",時間編集!F17&lt;&gt;"",時間編集!E17&lt;=0.3333333333333333,時間編集!F17&gt;=0.3541666666666667),"中抜",IF(AND(時間編集!C17&lt;=0.3333333333333333,時間編集!D17&gt;=0.3541666666666667),"●","")),"")</f>
        <v/>
      </c>
      <c r="D17" s="14">
        <f>IF(AND(時間編集!C17&lt;&gt;"",時間編集!D17&lt;&gt;""),IF(AND(時間編集!E17&lt;&gt;"",時間編集!F17&lt;&gt;"",時間編集!E17&lt;=0.3541666666666667,時間編集!F17&gt;=0.375),"中抜",IF(AND(時間編集!C17&lt;=0.3541666666666667,時間編集!D17&gt;=0.375),"●","")),"")</f>
        <v/>
      </c>
      <c r="E17" s="14">
        <f>IF(AND(時間編集!C17&lt;&gt;"",時間編集!D17&lt;&gt;""),IF(AND(時間編集!E17&lt;&gt;"",時間編集!F17&lt;&gt;"",時間編集!E17&lt;=0.375,時間編集!F17&gt;=0.3958333333333333),"中抜",IF(AND(時間編集!C17&lt;=0.375,時間編集!D17&gt;=0.3958333333333333),"●","")),"")</f>
        <v/>
      </c>
      <c r="F17" s="14">
        <f>IF(AND(時間編集!C17&lt;&gt;"",時間編集!D17&lt;&gt;""),IF(AND(時間編集!E17&lt;&gt;"",時間編集!F17&lt;&gt;"",時間編集!E17&lt;=0.3958333333333333,時間編集!F17&gt;=0.4166666666666667),"中抜",IF(AND(時間編集!C17&lt;=0.3958333333333333,時間編集!D17&gt;=0.4166666666666667),"●","")),"")</f>
        <v/>
      </c>
      <c r="G17" s="14">
        <f>IF(AND(時間編集!C17&lt;&gt;"",時間編集!D17&lt;&gt;""),IF(AND(時間編集!E17&lt;&gt;"",時間編集!F17&lt;&gt;"",時間編集!E17&lt;=0.4166666666666667,時間編集!F17&gt;=0.4375),"中抜",IF(AND(時間編集!C17&lt;=0.4166666666666667,時間編集!D17&gt;=0.4375),"●","")),"")</f>
        <v/>
      </c>
      <c r="H17" s="14">
        <f>IF(AND(時間編集!C17&lt;&gt;"",時間編集!D17&lt;&gt;""),IF(AND(時間編集!E17&lt;&gt;"",時間編集!F17&lt;&gt;"",時間編集!E17&lt;=0.4375,時間編集!F17&gt;=0.4583333333333333),"中抜",IF(AND(時間編集!C17&lt;=0.4375,時間編集!D17&gt;=0.4583333333333333),"●","")),"")</f>
        <v/>
      </c>
      <c r="I17" s="14">
        <f>IF(AND(時間編集!C17&lt;&gt;"",時間編集!D17&lt;&gt;""),IF(AND(時間編集!E17&lt;&gt;"",時間編集!F17&lt;&gt;"",時間編集!E17&lt;=0.4583333333333333,時間編集!F17&gt;=0.4791666666666667),"中抜",IF(AND(時間編集!C17&lt;=0.4583333333333333,時間編集!D17&gt;=0.4791666666666667),"●","")),"")</f>
        <v/>
      </c>
      <c r="J17" s="14">
        <f>IF(AND(時間編集!C17&lt;&gt;"",時間編集!D17&lt;&gt;""),IF(AND(時間編集!E17&lt;&gt;"",時間編集!F17&lt;&gt;"",時間編集!E17&lt;=0.4791666666666667,時間編集!F17&gt;=0.5),"中抜",IF(AND(時間編集!C17&lt;=0.4791666666666667,時間編集!D17&gt;=0.5),"●","")),"")</f>
        <v/>
      </c>
      <c r="K17" s="14">
        <f>IF(AND(時間編集!C17&lt;&gt;"",時間編集!D17&lt;&gt;""),IF(AND(時間編集!E17&lt;&gt;"",時間編集!F17&lt;&gt;"",時間編集!E17&lt;=0.5,時間編集!F17&gt;=0.5208333333333334),"中抜",IF(AND(時間編集!C17&lt;=0.5,時間編集!D17&gt;=0.5208333333333334),"●","")),"")</f>
        <v/>
      </c>
      <c r="L17" s="14">
        <f>IF(AND(時間編集!C17&lt;&gt;"",時間編集!D17&lt;&gt;""),IF(AND(時間編集!E17&lt;&gt;"",時間編集!F17&lt;&gt;"",時間編集!E17&lt;=0.5208333333333334,時間編集!F17&gt;=0.5416666666666666),"中抜",IF(AND(時間編集!C17&lt;=0.5208333333333334,時間編集!D17&gt;=0.5416666666666666),"●","")),"")</f>
        <v/>
      </c>
      <c r="M17" s="14">
        <f>IF(AND(時間編集!C17&lt;&gt;"",時間編集!D17&lt;&gt;""),IF(AND(時間編集!E17&lt;&gt;"",時間編集!F17&lt;&gt;"",時間編集!E17&lt;=0.5416666666666666,時間編集!F17&gt;=0.5625),"中抜",IF(AND(時間編集!C17&lt;=0.5416666666666666,時間編集!D17&gt;=0.5625),"●","")),"")</f>
        <v/>
      </c>
      <c r="N17" s="14">
        <f>IF(AND(時間編集!C17&lt;&gt;"",時間編集!D17&lt;&gt;""),IF(AND(時間編集!E17&lt;&gt;"",時間編集!F17&lt;&gt;"",時間編集!E17&lt;=0.5625,時間編集!F17&gt;=0.5833333333333334),"中抜",IF(AND(時間編集!C17&lt;=0.5625,時間編集!D17&gt;=0.5833333333333334),"●","")),"")</f>
        <v/>
      </c>
      <c r="O17" s="14">
        <f>IF(AND(時間編集!C17&lt;&gt;"",時間編集!D17&lt;&gt;""),IF(AND(時間編集!E17&lt;&gt;"",時間編集!F17&lt;&gt;"",時間編集!E17&lt;=0.5833333333333334,時間編集!F17&gt;=0.6041666666666666),"中抜",IF(AND(時間編集!C17&lt;=0.5833333333333334,時間編集!D17&gt;=0.6041666666666666),"●","")),"")</f>
        <v/>
      </c>
      <c r="P17" s="14">
        <f>IF(AND(時間編集!C17&lt;&gt;"",時間編集!D17&lt;&gt;""),IF(AND(時間編集!E17&lt;&gt;"",時間編集!F17&lt;&gt;"",時間編集!E17&lt;=0.6041666666666666,時間編集!F17&gt;=0.625),"中抜",IF(AND(時間編集!C17&lt;=0.6041666666666666,時間編集!D17&gt;=0.625),"●","")),"")</f>
        <v/>
      </c>
      <c r="Q17" s="14">
        <f>IF(AND(時間編集!C17&lt;&gt;"",時間編集!D17&lt;&gt;""),IF(AND(時間編集!E17&lt;&gt;"",時間編集!F17&lt;&gt;"",時間編集!E17&lt;=0.625,時間編集!F17&gt;=0.6458333333333334),"中抜",IF(AND(時間編集!C17&lt;=0.625,時間編集!D17&gt;=0.6458333333333334),"●","")),"")</f>
        <v/>
      </c>
      <c r="R17" s="14">
        <f>IF(AND(時間編集!C17&lt;&gt;"",時間編集!D17&lt;&gt;""),IF(AND(時間編集!E17&lt;&gt;"",時間編集!F17&lt;&gt;"",時間編集!E17&lt;=0.6458333333333334,時間編集!F17&gt;=0.6666666666666666),"中抜",IF(AND(時間編集!C17&lt;=0.6458333333333334,時間編集!D17&gt;=0.6666666666666666),"●","")),"")</f>
        <v/>
      </c>
      <c r="S17" s="14">
        <f>IF(AND(時間編集!C17&lt;&gt;"",時間編集!D17&lt;&gt;""),IF(AND(時間編集!E17&lt;&gt;"",時間編集!F17&lt;&gt;"",時間編集!E17&lt;=0.6666666666666666,時間編集!F17&gt;=0.6875),"中抜",IF(AND(時間編集!C17&lt;=0.6666666666666666,時間編集!D17&gt;=0.6875),"●","")),"")</f>
        <v/>
      </c>
      <c r="T17" s="14">
        <f>IF(AND(時間編集!C17&lt;&gt;"",時間編集!D17&lt;&gt;""),IF(AND(時間編集!E17&lt;&gt;"",時間編集!F17&lt;&gt;"",時間編集!E17&lt;=0.6875,時間編集!F17&gt;=0.7083333333333334),"中抜",IF(AND(時間編集!C17&lt;=0.6875,時間編集!D17&gt;=0.7083333333333334),"●","")),"")</f>
        <v/>
      </c>
      <c r="U17" s="14">
        <f>IF(AND(時間編集!C17&lt;&gt;"",時間編集!D17&lt;&gt;""),IF(AND(時間編集!E17&lt;&gt;"",時間編集!F17&lt;&gt;"",時間編集!E17&lt;=0.7083333333333334,時間編集!F17&gt;=0.7291666666666666),"中抜",IF(AND(時間編集!C17&lt;=0.7083333333333334,時間編集!D17&gt;=0.7291666666666666),"●","")),"")</f>
        <v/>
      </c>
      <c r="V17" s="14">
        <f>IF(AND(時間編集!C17&lt;&gt;"",時間編集!D17&lt;&gt;""),IF(AND(時間編集!E17&lt;&gt;"",時間編集!F17&lt;&gt;"",時間編集!E17&lt;=0.7291666666666666,時間編集!F17&gt;=0.75),"中抜",IF(AND(時間編集!C17&lt;=0.7291666666666666,時間編集!D17&gt;=0.75),"●","")),"")</f>
        <v/>
      </c>
      <c r="W17" s="14">
        <f>IF(AND(時間編集!C17&lt;&gt;"",時間編集!D17&lt;&gt;""),IF(AND(時間編集!E17&lt;&gt;"",時間編集!F17&lt;&gt;"",時間編集!E17&lt;=0.75,時間編集!F17&gt;=0.7708333333333334),"中抜",IF(AND(時間編集!C17&lt;=0.75,時間編集!D17&gt;=0.7708333333333334),"●","")),"")</f>
        <v/>
      </c>
      <c r="X17" s="14">
        <f>IF(AND(時間編集!C17&lt;&gt;"",時間編集!D17&lt;&gt;""),IF(AND(時間編集!E17&lt;&gt;"",時間編集!F17&lt;&gt;"",時間編集!E17&lt;=0.7708333333333334,時間編集!F17&gt;=0.7916666666666666),"中抜",IF(AND(時間編集!C17&lt;=0.7708333333333334,時間編集!D17&gt;=0.7916666666666666),"●","")),"")</f>
        <v/>
      </c>
    </row>
    <row r="18" ht="18" customHeight="1">
      <c r="A18" s="4" t="inlineStr">
        <is>
          <t>伊藤</t>
        </is>
      </c>
      <c r="B18" s="5" t="inlineStr">
        <is>
          <t>月</t>
        </is>
      </c>
      <c r="C18" s="14">
        <f>IF(AND(時間編集!C18&lt;&gt;"",時間編集!D18&lt;&gt;""),IF(AND(時間編集!E18&lt;&gt;"",時間編集!F18&lt;&gt;"",時間編集!E18&lt;=0.3333333333333333,時間編集!F18&gt;=0.3541666666666667),"中抜",IF(AND(時間編集!C18&lt;=0.3333333333333333,時間編集!D18&gt;=0.3541666666666667),"●","")),"")</f>
        <v/>
      </c>
      <c r="D18" s="14">
        <f>IF(AND(時間編集!C18&lt;&gt;"",時間編集!D18&lt;&gt;""),IF(AND(時間編集!E18&lt;&gt;"",時間編集!F18&lt;&gt;"",時間編集!E18&lt;=0.3541666666666667,時間編集!F18&gt;=0.375),"中抜",IF(AND(時間編集!C18&lt;=0.3541666666666667,時間編集!D18&gt;=0.375),"●","")),"")</f>
        <v/>
      </c>
      <c r="E18" s="14">
        <f>IF(AND(時間編集!C18&lt;&gt;"",時間編集!D18&lt;&gt;""),IF(AND(時間編集!E18&lt;&gt;"",時間編集!F18&lt;&gt;"",時間編集!E18&lt;=0.375,時間編集!F18&gt;=0.3958333333333333),"中抜",IF(AND(時間編集!C18&lt;=0.375,時間編集!D18&gt;=0.3958333333333333),"●","")),"")</f>
        <v/>
      </c>
      <c r="F18" s="14">
        <f>IF(AND(時間編集!C18&lt;&gt;"",時間編集!D18&lt;&gt;""),IF(AND(時間編集!E18&lt;&gt;"",時間編集!F18&lt;&gt;"",時間編集!E18&lt;=0.3958333333333333,時間編集!F18&gt;=0.4166666666666667),"中抜",IF(AND(時間編集!C18&lt;=0.3958333333333333,時間編集!D18&gt;=0.4166666666666667),"●","")),"")</f>
        <v/>
      </c>
      <c r="G18" s="14">
        <f>IF(AND(時間編集!C18&lt;&gt;"",時間編集!D18&lt;&gt;""),IF(AND(時間編集!E18&lt;&gt;"",時間編集!F18&lt;&gt;"",時間編集!E18&lt;=0.4166666666666667,時間編集!F18&gt;=0.4375),"中抜",IF(AND(時間編集!C18&lt;=0.4166666666666667,時間編集!D18&gt;=0.4375),"●","")),"")</f>
        <v/>
      </c>
      <c r="H18" s="14">
        <f>IF(AND(時間編集!C18&lt;&gt;"",時間編集!D18&lt;&gt;""),IF(AND(時間編集!E18&lt;&gt;"",時間編集!F18&lt;&gt;"",時間編集!E18&lt;=0.4375,時間編集!F18&gt;=0.4583333333333333),"中抜",IF(AND(時間編集!C18&lt;=0.4375,時間編集!D18&gt;=0.4583333333333333),"●","")),"")</f>
        <v/>
      </c>
      <c r="I18" s="14">
        <f>IF(AND(時間編集!C18&lt;&gt;"",時間編集!D18&lt;&gt;""),IF(AND(時間編集!E18&lt;&gt;"",時間編集!F18&lt;&gt;"",時間編集!E18&lt;=0.4583333333333333,時間編集!F18&gt;=0.4791666666666667),"中抜",IF(AND(時間編集!C18&lt;=0.4583333333333333,時間編集!D18&gt;=0.4791666666666667),"●","")),"")</f>
        <v/>
      </c>
      <c r="J18" s="14">
        <f>IF(AND(時間編集!C18&lt;&gt;"",時間編集!D18&lt;&gt;""),IF(AND(時間編集!E18&lt;&gt;"",時間編集!F18&lt;&gt;"",時間編集!E18&lt;=0.4791666666666667,時間編集!F18&gt;=0.5),"中抜",IF(AND(時間編集!C18&lt;=0.4791666666666667,時間編集!D18&gt;=0.5),"●","")),"")</f>
        <v/>
      </c>
      <c r="K18" s="14">
        <f>IF(AND(時間編集!C18&lt;&gt;"",時間編集!D18&lt;&gt;""),IF(AND(時間編集!E18&lt;&gt;"",時間編集!F18&lt;&gt;"",時間編集!E18&lt;=0.5,時間編集!F18&gt;=0.5208333333333334),"中抜",IF(AND(時間編集!C18&lt;=0.5,時間編集!D18&gt;=0.5208333333333334),"●","")),"")</f>
        <v/>
      </c>
      <c r="L18" s="14">
        <f>IF(AND(時間編集!C18&lt;&gt;"",時間編集!D18&lt;&gt;""),IF(AND(時間編集!E18&lt;&gt;"",時間編集!F18&lt;&gt;"",時間編集!E18&lt;=0.5208333333333334,時間編集!F18&gt;=0.5416666666666666),"中抜",IF(AND(時間編集!C18&lt;=0.5208333333333334,時間編集!D18&gt;=0.5416666666666666),"●","")),"")</f>
        <v/>
      </c>
      <c r="M18" s="14">
        <f>IF(AND(時間編集!C18&lt;&gt;"",時間編集!D18&lt;&gt;""),IF(AND(時間編集!E18&lt;&gt;"",時間編集!F18&lt;&gt;"",時間編集!E18&lt;=0.5416666666666666,時間編集!F18&gt;=0.5625),"中抜",IF(AND(時間編集!C18&lt;=0.5416666666666666,時間編集!D18&gt;=0.5625),"●","")),"")</f>
        <v/>
      </c>
      <c r="N18" s="14">
        <f>IF(AND(時間編集!C18&lt;&gt;"",時間編集!D18&lt;&gt;""),IF(AND(時間編集!E18&lt;&gt;"",時間編集!F18&lt;&gt;"",時間編集!E18&lt;=0.5625,時間編集!F18&gt;=0.5833333333333334),"中抜",IF(AND(時間編集!C18&lt;=0.5625,時間編集!D18&gt;=0.5833333333333334),"●","")),"")</f>
        <v/>
      </c>
      <c r="O18" s="14">
        <f>IF(AND(時間編集!C18&lt;&gt;"",時間編集!D18&lt;&gt;""),IF(AND(時間編集!E18&lt;&gt;"",時間編集!F18&lt;&gt;"",時間編集!E18&lt;=0.5833333333333334,時間編集!F18&gt;=0.6041666666666666),"中抜",IF(AND(時間編集!C18&lt;=0.5833333333333334,時間編集!D18&gt;=0.6041666666666666),"●","")),"")</f>
        <v/>
      </c>
      <c r="P18" s="14">
        <f>IF(AND(時間編集!C18&lt;&gt;"",時間編集!D18&lt;&gt;""),IF(AND(時間編集!E18&lt;&gt;"",時間編集!F18&lt;&gt;"",時間編集!E18&lt;=0.6041666666666666,時間編集!F18&gt;=0.625),"中抜",IF(AND(時間編集!C18&lt;=0.6041666666666666,時間編集!D18&gt;=0.625),"●","")),"")</f>
        <v/>
      </c>
      <c r="Q18" s="14">
        <f>IF(AND(時間編集!C18&lt;&gt;"",時間編集!D18&lt;&gt;""),IF(AND(時間編集!E18&lt;&gt;"",時間編集!F18&lt;&gt;"",時間編集!E18&lt;=0.625,時間編集!F18&gt;=0.6458333333333334),"中抜",IF(AND(時間編集!C18&lt;=0.625,時間編集!D18&gt;=0.6458333333333334),"●","")),"")</f>
        <v/>
      </c>
      <c r="R18" s="14">
        <f>IF(AND(時間編集!C18&lt;&gt;"",時間編集!D18&lt;&gt;""),IF(AND(時間編集!E18&lt;&gt;"",時間編集!F18&lt;&gt;"",時間編集!E18&lt;=0.6458333333333334,時間編集!F18&gt;=0.6666666666666666),"中抜",IF(AND(時間編集!C18&lt;=0.6458333333333334,時間編集!D18&gt;=0.6666666666666666),"●","")),"")</f>
        <v/>
      </c>
      <c r="S18" s="14">
        <f>IF(AND(時間編集!C18&lt;&gt;"",時間編集!D18&lt;&gt;""),IF(AND(時間編集!E18&lt;&gt;"",時間編集!F18&lt;&gt;"",時間編集!E18&lt;=0.6666666666666666,時間編集!F18&gt;=0.6875),"中抜",IF(AND(時間編集!C18&lt;=0.6666666666666666,時間編集!D18&gt;=0.6875),"●","")),"")</f>
        <v/>
      </c>
      <c r="T18" s="14">
        <f>IF(AND(時間編集!C18&lt;&gt;"",時間編集!D18&lt;&gt;""),IF(AND(時間編集!E18&lt;&gt;"",時間編集!F18&lt;&gt;"",時間編集!E18&lt;=0.6875,時間編集!F18&gt;=0.7083333333333334),"中抜",IF(AND(時間編集!C18&lt;=0.6875,時間編集!D18&gt;=0.7083333333333334),"●","")),"")</f>
        <v/>
      </c>
      <c r="U18" s="14">
        <f>IF(AND(時間編集!C18&lt;&gt;"",時間編集!D18&lt;&gt;""),IF(AND(時間編集!E18&lt;&gt;"",時間編集!F18&lt;&gt;"",時間編集!E18&lt;=0.7083333333333334,時間編集!F18&gt;=0.7291666666666666),"中抜",IF(AND(時間編集!C18&lt;=0.7083333333333334,時間編集!D18&gt;=0.7291666666666666),"●","")),"")</f>
        <v/>
      </c>
      <c r="V18" s="14">
        <f>IF(AND(時間編集!C18&lt;&gt;"",時間編集!D18&lt;&gt;""),IF(AND(時間編集!E18&lt;&gt;"",時間編集!F18&lt;&gt;"",時間編集!E18&lt;=0.7291666666666666,時間編集!F18&gt;=0.75),"中抜",IF(AND(時間編集!C18&lt;=0.7291666666666666,時間編集!D18&gt;=0.75),"●","")),"")</f>
        <v/>
      </c>
      <c r="W18" s="14">
        <f>IF(AND(時間編集!C18&lt;&gt;"",時間編集!D18&lt;&gt;""),IF(AND(時間編集!E18&lt;&gt;"",時間編集!F18&lt;&gt;"",時間編集!E18&lt;=0.75,時間編集!F18&gt;=0.7708333333333334),"中抜",IF(AND(時間編集!C18&lt;=0.75,時間編集!D18&gt;=0.7708333333333334),"●","")),"")</f>
        <v/>
      </c>
      <c r="X18" s="14">
        <f>IF(AND(時間編集!C18&lt;&gt;"",時間編集!D18&lt;&gt;""),IF(AND(時間編集!E18&lt;&gt;"",時間編集!F18&lt;&gt;"",時間編集!E18&lt;=0.7708333333333334,時間編集!F18&gt;=0.7916666666666666),"中抜",IF(AND(時間編集!C18&lt;=0.7708333333333334,時間編集!D18&gt;=0.7916666666666666),"●","")),"")</f>
        <v/>
      </c>
    </row>
    <row r="19" ht="18" customHeight="1">
      <c r="A19" s="8" t="n"/>
      <c r="B19" s="5" t="inlineStr">
        <is>
          <t>火</t>
        </is>
      </c>
      <c r="C19" s="14">
        <f>IF(AND(時間編集!C19&lt;&gt;"",時間編集!D19&lt;&gt;""),IF(AND(時間編集!E19&lt;&gt;"",時間編集!F19&lt;&gt;"",時間編集!E19&lt;=0.3333333333333333,時間編集!F19&gt;=0.3541666666666667),"中抜",IF(AND(時間編集!C19&lt;=0.3333333333333333,時間編集!D19&gt;=0.3541666666666667),"●","")),"")</f>
        <v/>
      </c>
      <c r="D19" s="14">
        <f>IF(AND(時間編集!C19&lt;&gt;"",時間編集!D19&lt;&gt;""),IF(AND(時間編集!E19&lt;&gt;"",時間編集!F19&lt;&gt;"",時間編集!E19&lt;=0.3541666666666667,時間編集!F19&gt;=0.375),"中抜",IF(AND(時間編集!C19&lt;=0.3541666666666667,時間編集!D19&gt;=0.375),"●","")),"")</f>
        <v/>
      </c>
      <c r="E19" s="14">
        <f>IF(AND(時間編集!C19&lt;&gt;"",時間編集!D19&lt;&gt;""),IF(AND(時間編集!E19&lt;&gt;"",時間編集!F19&lt;&gt;"",時間編集!E19&lt;=0.375,時間編集!F19&gt;=0.3958333333333333),"中抜",IF(AND(時間編集!C19&lt;=0.375,時間編集!D19&gt;=0.3958333333333333),"●","")),"")</f>
        <v/>
      </c>
      <c r="F19" s="14">
        <f>IF(AND(時間編集!C19&lt;&gt;"",時間編集!D19&lt;&gt;""),IF(AND(時間編集!E19&lt;&gt;"",時間編集!F19&lt;&gt;"",時間編集!E19&lt;=0.3958333333333333,時間編集!F19&gt;=0.4166666666666667),"中抜",IF(AND(時間編集!C19&lt;=0.3958333333333333,時間編集!D19&gt;=0.4166666666666667),"●","")),"")</f>
        <v/>
      </c>
      <c r="G19" s="14">
        <f>IF(AND(時間編集!C19&lt;&gt;"",時間編集!D19&lt;&gt;""),IF(AND(時間編集!E19&lt;&gt;"",時間編集!F19&lt;&gt;"",時間編集!E19&lt;=0.4166666666666667,時間編集!F19&gt;=0.4375),"中抜",IF(AND(時間編集!C19&lt;=0.4166666666666667,時間編集!D19&gt;=0.4375),"●","")),"")</f>
        <v/>
      </c>
      <c r="H19" s="14">
        <f>IF(AND(時間編集!C19&lt;&gt;"",時間編集!D19&lt;&gt;""),IF(AND(時間編集!E19&lt;&gt;"",時間編集!F19&lt;&gt;"",時間編集!E19&lt;=0.4375,時間編集!F19&gt;=0.4583333333333333),"中抜",IF(AND(時間編集!C19&lt;=0.4375,時間編集!D19&gt;=0.4583333333333333),"●","")),"")</f>
        <v/>
      </c>
      <c r="I19" s="14">
        <f>IF(AND(時間編集!C19&lt;&gt;"",時間編集!D19&lt;&gt;""),IF(AND(時間編集!E19&lt;&gt;"",時間編集!F19&lt;&gt;"",時間編集!E19&lt;=0.4583333333333333,時間編集!F19&gt;=0.4791666666666667),"中抜",IF(AND(時間編集!C19&lt;=0.4583333333333333,時間編集!D19&gt;=0.4791666666666667),"●","")),"")</f>
        <v/>
      </c>
      <c r="J19" s="14">
        <f>IF(AND(時間編集!C19&lt;&gt;"",時間編集!D19&lt;&gt;""),IF(AND(時間編集!E19&lt;&gt;"",時間編集!F19&lt;&gt;"",時間編集!E19&lt;=0.4791666666666667,時間編集!F19&gt;=0.5),"中抜",IF(AND(時間編集!C19&lt;=0.4791666666666667,時間編集!D19&gt;=0.5),"●","")),"")</f>
        <v/>
      </c>
      <c r="K19" s="14">
        <f>IF(AND(時間編集!C19&lt;&gt;"",時間編集!D19&lt;&gt;""),IF(AND(時間編集!E19&lt;&gt;"",時間編集!F19&lt;&gt;"",時間編集!E19&lt;=0.5,時間編集!F19&gt;=0.5208333333333334),"中抜",IF(AND(時間編集!C19&lt;=0.5,時間編集!D19&gt;=0.5208333333333334),"●","")),"")</f>
        <v/>
      </c>
      <c r="L19" s="14">
        <f>IF(AND(時間編集!C19&lt;&gt;"",時間編集!D19&lt;&gt;""),IF(AND(時間編集!E19&lt;&gt;"",時間編集!F19&lt;&gt;"",時間編集!E19&lt;=0.5208333333333334,時間編集!F19&gt;=0.5416666666666666),"中抜",IF(AND(時間編集!C19&lt;=0.5208333333333334,時間編集!D19&gt;=0.5416666666666666),"●","")),"")</f>
        <v/>
      </c>
      <c r="M19" s="14">
        <f>IF(AND(時間編集!C19&lt;&gt;"",時間編集!D19&lt;&gt;""),IF(AND(時間編集!E19&lt;&gt;"",時間編集!F19&lt;&gt;"",時間編集!E19&lt;=0.5416666666666666,時間編集!F19&gt;=0.5625),"中抜",IF(AND(時間編集!C19&lt;=0.5416666666666666,時間編集!D19&gt;=0.5625),"●","")),"")</f>
        <v/>
      </c>
      <c r="N19" s="14">
        <f>IF(AND(時間編集!C19&lt;&gt;"",時間編集!D19&lt;&gt;""),IF(AND(時間編集!E19&lt;&gt;"",時間編集!F19&lt;&gt;"",時間編集!E19&lt;=0.5625,時間編集!F19&gt;=0.5833333333333334),"中抜",IF(AND(時間編集!C19&lt;=0.5625,時間編集!D19&gt;=0.5833333333333334),"●","")),"")</f>
        <v/>
      </c>
      <c r="O19" s="14">
        <f>IF(AND(時間編集!C19&lt;&gt;"",時間編集!D19&lt;&gt;""),IF(AND(時間編集!E19&lt;&gt;"",時間編集!F19&lt;&gt;"",時間編集!E19&lt;=0.5833333333333334,時間編集!F19&gt;=0.6041666666666666),"中抜",IF(AND(時間編集!C19&lt;=0.5833333333333334,時間編集!D19&gt;=0.6041666666666666),"●","")),"")</f>
        <v/>
      </c>
      <c r="P19" s="14">
        <f>IF(AND(時間編集!C19&lt;&gt;"",時間編集!D19&lt;&gt;""),IF(AND(時間編集!E19&lt;&gt;"",時間編集!F19&lt;&gt;"",時間編集!E19&lt;=0.6041666666666666,時間編集!F19&gt;=0.625),"中抜",IF(AND(時間編集!C19&lt;=0.6041666666666666,時間編集!D19&gt;=0.625),"●","")),"")</f>
        <v/>
      </c>
      <c r="Q19" s="14">
        <f>IF(AND(時間編集!C19&lt;&gt;"",時間編集!D19&lt;&gt;""),IF(AND(時間編集!E19&lt;&gt;"",時間編集!F19&lt;&gt;"",時間編集!E19&lt;=0.625,時間編集!F19&gt;=0.6458333333333334),"中抜",IF(AND(時間編集!C19&lt;=0.625,時間編集!D19&gt;=0.6458333333333334),"●","")),"")</f>
        <v/>
      </c>
      <c r="R19" s="14">
        <f>IF(AND(時間編集!C19&lt;&gt;"",時間編集!D19&lt;&gt;""),IF(AND(時間編集!E19&lt;&gt;"",時間編集!F19&lt;&gt;"",時間編集!E19&lt;=0.6458333333333334,時間編集!F19&gt;=0.6666666666666666),"中抜",IF(AND(時間編集!C19&lt;=0.6458333333333334,時間編集!D19&gt;=0.6666666666666666),"●","")),"")</f>
        <v/>
      </c>
      <c r="S19" s="14">
        <f>IF(AND(時間編集!C19&lt;&gt;"",時間編集!D19&lt;&gt;""),IF(AND(時間編集!E19&lt;&gt;"",時間編集!F19&lt;&gt;"",時間編集!E19&lt;=0.6666666666666666,時間編集!F19&gt;=0.6875),"中抜",IF(AND(時間編集!C19&lt;=0.6666666666666666,時間編集!D19&gt;=0.6875),"●","")),"")</f>
        <v/>
      </c>
      <c r="T19" s="14">
        <f>IF(AND(時間編集!C19&lt;&gt;"",時間編集!D19&lt;&gt;""),IF(AND(時間編集!E19&lt;&gt;"",時間編集!F19&lt;&gt;"",時間編集!E19&lt;=0.6875,時間編集!F19&gt;=0.7083333333333334),"中抜",IF(AND(時間編集!C19&lt;=0.6875,時間編集!D19&gt;=0.7083333333333334),"●","")),"")</f>
        <v/>
      </c>
      <c r="U19" s="14">
        <f>IF(AND(時間編集!C19&lt;&gt;"",時間編集!D19&lt;&gt;""),IF(AND(時間編集!E19&lt;&gt;"",時間編集!F19&lt;&gt;"",時間編集!E19&lt;=0.7083333333333334,時間編集!F19&gt;=0.7291666666666666),"中抜",IF(AND(時間編集!C19&lt;=0.7083333333333334,時間編集!D19&gt;=0.7291666666666666),"●","")),"")</f>
        <v/>
      </c>
      <c r="V19" s="14">
        <f>IF(AND(時間編集!C19&lt;&gt;"",時間編集!D19&lt;&gt;""),IF(AND(時間編集!E19&lt;&gt;"",時間編集!F19&lt;&gt;"",時間編集!E19&lt;=0.7291666666666666,時間編集!F19&gt;=0.75),"中抜",IF(AND(時間編集!C19&lt;=0.7291666666666666,時間編集!D19&gt;=0.75),"●","")),"")</f>
        <v/>
      </c>
      <c r="W19" s="14">
        <f>IF(AND(時間編集!C19&lt;&gt;"",時間編集!D19&lt;&gt;""),IF(AND(時間編集!E19&lt;&gt;"",時間編集!F19&lt;&gt;"",時間編集!E19&lt;=0.75,時間編集!F19&gt;=0.7708333333333334),"中抜",IF(AND(時間編集!C19&lt;=0.75,時間編集!D19&gt;=0.7708333333333334),"●","")),"")</f>
        <v/>
      </c>
      <c r="X19" s="14">
        <f>IF(AND(時間編集!C19&lt;&gt;"",時間編集!D19&lt;&gt;""),IF(AND(時間編集!E19&lt;&gt;"",時間編集!F19&lt;&gt;"",時間編集!E19&lt;=0.7708333333333334,時間編集!F19&gt;=0.7916666666666666),"中抜",IF(AND(時間編集!C19&lt;=0.7708333333333334,時間編集!D19&gt;=0.7916666666666666),"●","")),"")</f>
        <v/>
      </c>
    </row>
    <row r="20" ht="18" customHeight="1">
      <c r="A20" s="8" t="n"/>
      <c r="B20" s="5" t="inlineStr">
        <is>
          <t>水</t>
        </is>
      </c>
      <c r="C20" s="14">
        <f>IF(AND(時間編集!C20&lt;&gt;"",時間編集!D20&lt;&gt;""),IF(AND(時間編集!E20&lt;&gt;"",時間編集!F20&lt;&gt;"",時間編集!E20&lt;=0.3333333333333333,時間編集!F20&gt;=0.3541666666666667),"中抜",IF(AND(時間編集!C20&lt;=0.3333333333333333,時間編集!D20&gt;=0.3541666666666667),"●","")),"")</f>
        <v/>
      </c>
      <c r="D20" s="14">
        <f>IF(AND(時間編集!C20&lt;&gt;"",時間編集!D20&lt;&gt;""),IF(AND(時間編集!E20&lt;&gt;"",時間編集!F20&lt;&gt;"",時間編集!E20&lt;=0.3541666666666667,時間編集!F20&gt;=0.375),"中抜",IF(AND(時間編集!C20&lt;=0.3541666666666667,時間編集!D20&gt;=0.375),"●","")),"")</f>
        <v/>
      </c>
      <c r="E20" s="14">
        <f>IF(AND(時間編集!C20&lt;&gt;"",時間編集!D20&lt;&gt;""),IF(AND(時間編集!E20&lt;&gt;"",時間編集!F20&lt;&gt;"",時間編集!E20&lt;=0.375,時間編集!F20&gt;=0.3958333333333333),"中抜",IF(AND(時間編集!C20&lt;=0.375,時間編集!D20&gt;=0.3958333333333333),"●","")),"")</f>
        <v/>
      </c>
      <c r="F20" s="14">
        <f>IF(AND(時間編集!C20&lt;&gt;"",時間編集!D20&lt;&gt;""),IF(AND(時間編集!E20&lt;&gt;"",時間編集!F20&lt;&gt;"",時間編集!E20&lt;=0.3958333333333333,時間編集!F20&gt;=0.4166666666666667),"中抜",IF(AND(時間編集!C20&lt;=0.3958333333333333,時間編集!D20&gt;=0.4166666666666667),"●","")),"")</f>
        <v/>
      </c>
      <c r="G20" s="14">
        <f>IF(AND(時間編集!C20&lt;&gt;"",時間編集!D20&lt;&gt;""),IF(AND(時間編集!E20&lt;&gt;"",時間編集!F20&lt;&gt;"",時間編集!E20&lt;=0.4166666666666667,時間編集!F20&gt;=0.4375),"中抜",IF(AND(時間編集!C20&lt;=0.4166666666666667,時間編集!D20&gt;=0.4375),"●","")),"")</f>
        <v/>
      </c>
      <c r="H20" s="14">
        <f>IF(AND(時間編集!C20&lt;&gt;"",時間編集!D20&lt;&gt;""),IF(AND(時間編集!E20&lt;&gt;"",時間編集!F20&lt;&gt;"",時間編集!E20&lt;=0.4375,時間編集!F20&gt;=0.4583333333333333),"中抜",IF(AND(時間編集!C20&lt;=0.4375,時間編集!D20&gt;=0.4583333333333333),"●","")),"")</f>
        <v/>
      </c>
      <c r="I20" s="14">
        <f>IF(AND(時間編集!C20&lt;&gt;"",時間編集!D20&lt;&gt;""),IF(AND(時間編集!E20&lt;&gt;"",時間編集!F20&lt;&gt;"",時間編集!E20&lt;=0.4583333333333333,時間編集!F20&gt;=0.4791666666666667),"中抜",IF(AND(時間編集!C20&lt;=0.4583333333333333,時間編集!D20&gt;=0.4791666666666667),"●","")),"")</f>
        <v/>
      </c>
      <c r="J20" s="14">
        <f>IF(AND(時間編集!C20&lt;&gt;"",時間編集!D20&lt;&gt;""),IF(AND(時間編集!E20&lt;&gt;"",時間編集!F20&lt;&gt;"",時間編集!E20&lt;=0.4791666666666667,時間編集!F20&gt;=0.5),"中抜",IF(AND(時間編集!C20&lt;=0.4791666666666667,時間編集!D20&gt;=0.5),"●","")),"")</f>
        <v/>
      </c>
      <c r="K20" s="14">
        <f>IF(AND(時間編集!C20&lt;&gt;"",時間編集!D20&lt;&gt;""),IF(AND(時間編集!E20&lt;&gt;"",時間編集!F20&lt;&gt;"",時間編集!E20&lt;=0.5,時間編集!F20&gt;=0.5208333333333334),"中抜",IF(AND(時間編集!C20&lt;=0.5,時間編集!D20&gt;=0.5208333333333334),"●","")),"")</f>
        <v/>
      </c>
      <c r="L20" s="14">
        <f>IF(AND(時間編集!C20&lt;&gt;"",時間編集!D20&lt;&gt;""),IF(AND(時間編集!E20&lt;&gt;"",時間編集!F20&lt;&gt;"",時間編集!E20&lt;=0.5208333333333334,時間編集!F20&gt;=0.5416666666666666),"中抜",IF(AND(時間編集!C20&lt;=0.5208333333333334,時間編集!D20&gt;=0.5416666666666666),"●","")),"")</f>
        <v/>
      </c>
      <c r="M20" s="14">
        <f>IF(AND(時間編集!C20&lt;&gt;"",時間編集!D20&lt;&gt;""),IF(AND(時間編集!E20&lt;&gt;"",時間編集!F20&lt;&gt;"",時間編集!E20&lt;=0.5416666666666666,時間編集!F20&gt;=0.5625),"中抜",IF(AND(時間編集!C20&lt;=0.5416666666666666,時間編集!D20&gt;=0.5625),"●","")),"")</f>
        <v/>
      </c>
      <c r="N20" s="14">
        <f>IF(AND(時間編集!C20&lt;&gt;"",時間編集!D20&lt;&gt;""),IF(AND(時間編集!E20&lt;&gt;"",時間編集!F20&lt;&gt;"",時間編集!E20&lt;=0.5625,時間編集!F20&gt;=0.5833333333333334),"中抜",IF(AND(時間編集!C20&lt;=0.5625,時間編集!D20&gt;=0.5833333333333334),"●","")),"")</f>
        <v/>
      </c>
      <c r="O20" s="14">
        <f>IF(AND(時間編集!C20&lt;&gt;"",時間編集!D20&lt;&gt;""),IF(AND(時間編集!E20&lt;&gt;"",時間編集!F20&lt;&gt;"",時間編集!E20&lt;=0.5833333333333334,時間編集!F20&gt;=0.6041666666666666),"中抜",IF(AND(時間編集!C20&lt;=0.5833333333333334,時間編集!D20&gt;=0.6041666666666666),"●","")),"")</f>
        <v/>
      </c>
      <c r="P20" s="14">
        <f>IF(AND(時間編集!C20&lt;&gt;"",時間編集!D20&lt;&gt;""),IF(AND(時間編集!E20&lt;&gt;"",時間編集!F20&lt;&gt;"",時間編集!E20&lt;=0.6041666666666666,時間編集!F20&gt;=0.625),"中抜",IF(AND(時間編集!C20&lt;=0.6041666666666666,時間編集!D20&gt;=0.625),"●","")),"")</f>
        <v/>
      </c>
      <c r="Q20" s="14">
        <f>IF(AND(時間編集!C20&lt;&gt;"",時間編集!D20&lt;&gt;""),IF(AND(時間編集!E20&lt;&gt;"",時間編集!F20&lt;&gt;"",時間編集!E20&lt;=0.625,時間編集!F20&gt;=0.6458333333333334),"中抜",IF(AND(時間編集!C20&lt;=0.625,時間編集!D20&gt;=0.6458333333333334),"●","")),"")</f>
        <v/>
      </c>
      <c r="R20" s="14">
        <f>IF(AND(時間編集!C20&lt;&gt;"",時間編集!D20&lt;&gt;""),IF(AND(時間編集!E20&lt;&gt;"",時間編集!F20&lt;&gt;"",時間編集!E20&lt;=0.6458333333333334,時間編集!F20&gt;=0.6666666666666666),"中抜",IF(AND(時間編集!C20&lt;=0.6458333333333334,時間編集!D20&gt;=0.6666666666666666),"●","")),"")</f>
        <v/>
      </c>
      <c r="S20" s="14">
        <f>IF(AND(時間編集!C20&lt;&gt;"",時間編集!D20&lt;&gt;""),IF(AND(時間編集!E20&lt;&gt;"",時間編集!F20&lt;&gt;"",時間編集!E20&lt;=0.6666666666666666,時間編集!F20&gt;=0.6875),"中抜",IF(AND(時間編集!C20&lt;=0.6666666666666666,時間編集!D20&gt;=0.6875),"●","")),"")</f>
        <v/>
      </c>
      <c r="T20" s="14">
        <f>IF(AND(時間編集!C20&lt;&gt;"",時間編集!D20&lt;&gt;""),IF(AND(時間編集!E20&lt;&gt;"",時間編集!F20&lt;&gt;"",時間編集!E20&lt;=0.6875,時間編集!F20&gt;=0.7083333333333334),"中抜",IF(AND(時間編集!C20&lt;=0.6875,時間編集!D20&gt;=0.7083333333333334),"●","")),"")</f>
        <v/>
      </c>
      <c r="U20" s="14">
        <f>IF(AND(時間編集!C20&lt;&gt;"",時間編集!D20&lt;&gt;""),IF(AND(時間編集!E20&lt;&gt;"",時間編集!F20&lt;&gt;"",時間編集!E20&lt;=0.7083333333333334,時間編集!F20&gt;=0.7291666666666666),"中抜",IF(AND(時間編集!C20&lt;=0.7083333333333334,時間編集!D20&gt;=0.7291666666666666),"●","")),"")</f>
        <v/>
      </c>
      <c r="V20" s="14">
        <f>IF(AND(時間編集!C20&lt;&gt;"",時間編集!D20&lt;&gt;""),IF(AND(時間編集!E20&lt;&gt;"",時間編集!F20&lt;&gt;"",時間編集!E20&lt;=0.7291666666666666,時間編集!F20&gt;=0.75),"中抜",IF(AND(時間編集!C20&lt;=0.7291666666666666,時間編集!D20&gt;=0.75),"●","")),"")</f>
        <v/>
      </c>
      <c r="W20" s="14">
        <f>IF(AND(時間編集!C20&lt;&gt;"",時間編集!D20&lt;&gt;""),IF(AND(時間編集!E20&lt;&gt;"",時間編集!F20&lt;&gt;"",時間編集!E20&lt;=0.75,時間編集!F20&gt;=0.7708333333333334),"中抜",IF(AND(時間編集!C20&lt;=0.75,時間編集!D20&gt;=0.7708333333333334),"●","")),"")</f>
        <v/>
      </c>
      <c r="X20" s="14">
        <f>IF(AND(時間編集!C20&lt;&gt;"",時間編集!D20&lt;&gt;""),IF(AND(時間編集!E20&lt;&gt;"",時間編集!F20&lt;&gt;"",時間編集!E20&lt;=0.7708333333333334,時間編集!F20&gt;=0.7916666666666666),"中抜",IF(AND(時間編集!C20&lt;=0.7708333333333334,時間編集!D20&gt;=0.7916666666666666),"●","")),"")</f>
        <v/>
      </c>
    </row>
    <row r="21" ht="18" customHeight="1">
      <c r="A21" s="8" t="n"/>
      <c r="B21" s="5" t="inlineStr">
        <is>
          <t>木</t>
        </is>
      </c>
      <c r="C21" s="14">
        <f>IF(AND(時間編集!C21&lt;&gt;"",時間編集!D21&lt;&gt;""),IF(AND(時間編集!E21&lt;&gt;"",時間編集!F21&lt;&gt;"",時間編集!E21&lt;=0.3333333333333333,時間編集!F21&gt;=0.3541666666666667),"中抜",IF(AND(時間編集!C21&lt;=0.3333333333333333,時間編集!D21&gt;=0.3541666666666667),"●","")),"")</f>
        <v/>
      </c>
      <c r="D21" s="14">
        <f>IF(AND(時間編集!C21&lt;&gt;"",時間編集!D21&lt;&gt;""),IF(AND(時間編集!E21&lt;&gt;"",時間編集!F21&lt;&gt;"",時間編集!E21&lt;=0.3541666666666667,時間編集!F21&gt;=0.375),"中抜",IF(AND(時間編集!C21&lt;=0.3541666666666667,時間編集!D21&gt;=0.375),"●","")),"")</f>
        <v/>
      </c>
      <c r="E21" s="14">
        <f>IF(AND(時間編集!C21&lt;&gt;"",時間編集!D21&lt;&gt;""),IF(AND(時間編集!E21&lt;&gt;"",時間編集!F21&lt;&gt;"",時間編集!E21&lt;=0.375,時間編集!F21&gt;=0.3958333333333333),"中抜",IF(AND(時間編集!C21&lt;=0.375,時間編集!D21&gt;=0.3958333333333333),"●","")),"")</f>
        <v/>
      </c>
      <c r="F21" s="14">
        <f>IF(AND(時間編集!C21&lt;&gt;"",時間編集!D21&lt;&gt;""),IF(AND(時間編集!E21&lt;&gt;"",時間編集!F21&lt;&gt;"",時間編集!E21&lt;=0.3958333333333333,時間編集!F21&gt;=0.4166666666666667),"中抜",IF(AND(時間編集!C21&lt;=0.3958333333333333,時間編集!D21&gt;=0.4166666666666667),"●","")),"")</f>
        <v/>
      </c>
      <c r="G21" s="14">
        <f>IF(AND(時間編集!C21&lt;&gt;"",時間編集!D21&lt;&gt;""),IF(AND(時間編集!E21&lt;&gt;"",時間編集!F21&lt;&gt;"",時間編集!E21&lt;=0.4166666666666667,時間編集!F21&gt;=0.4375),"中抜",IF(AND(時間編集!C21&lt;=0.4166666666666667,時間編集!D21&gt;=0.4375),"●","")),"")</f>
        <v/>
      </c>
      <c r="H21" s="14">
        <f>IF(AND(時間編集!C21&lt;&gt;"",時間編集!D21&lt;&gt;""),IF(AND(時間編集!E21&lt;&gt;"",時間編集!F21&lt;&gt;"",時間編集!E21&lt;=0.4375,時間編集!F21&gt;=0.4583333333333333),"中抜",IF(AND(時間編集!C21&lt;=0.4375,時間編集!D21&gt;=0.4583333333333333),"●","")),"")</f>
        <v/>
      </c>
      <c r="I21" s="14">
        <f>IF(AND(時間編集!C21&lt;&gt;"",時間編集!D21&lt;&gt;""),IF(AND(時間編集!E21&lt;&gt;"",時間編集!F21&lt;&gt;"",時間編集!E21&lt;=0.4583333333333333,時間編集!F21&gt;=0.4791666666666667),"中抜",IF(AND(時間編集!C21&lt;=0.4583333333333333,時間編集!D21&gt;=0.4791666666666667),"●","")),"")</f>
        <v/>
      </c>
      <c r="J21" s="14">
        <f>IF(AND(時間編集!C21&lt;&gt;"",時間編集!D21&lt;&gt;""),IF(AND(時間編集!E21&lt;&gt;"",時間編集!F21&lt;&gt;"",時間編集!E21&lt;=0.4791666666666667,時間編集!F21&gt;=0.5),"中抜",IF(AND(時間編集!C21&lt;=0.4791666666666667,時間編集!D21&gt;=0.5),"●","")),"")</f>
        <v/>
      </c>
      <c r="K21" s="14">
        <f>IF(AND(時間編集!C21&lt;&gt;"",時間編集!D21&lt;&gt;""),IF(AND(時間編集!E21&lt;&gt;"",時間編集!F21&lt;&gt;"",時間編集!E21&lt;=0.5,時間編集!F21&gt;=0.5208333333333334),"中抜",IF(AND(時間編集!C21&lt;=0.5,時間編集!D21&gt;=0.5208333333333334),"●","")),"")</f>
        <v/>
      </c>
      <c r="L21" s="14">
        <f>IF(AND(時間編集!C21&lt;&gt;"",時間編集!D21&lt;&gt;""),IF(AND(時間編集!E21&lt;&gt;"",時間編集!F21&lt;&gt;"",時間編集!E21&lt;=0.5208333333333334,時間編集!F21&gt;=0.5416666666666666),"中抜",IF(AND(時間編集!C21&lt;=0.5208333333333334,時間編集!D21&gt;=0.5416666666666666),"●","")),"")</f>
        <v/>
      </c>
      <c r="M21" s="14">
        <f>IF(AND(時間編集!C21&lt;&gt;"",時間編集!D21&lt;&gt;""),IF(AND(時間編集!E21&lt;&gt;"",時間編集!F21&lt;&gt;"",時間編集!E21&lt;=0.5416666666666666,時間編集!F21&gt;=0.5625),"中抜",IF(AND(時間編集!C21&lt;=0.5416666666666666,時間編集!D21&gt;=0.5625),"●","")),"")</f>
        <v/>
      </c>
      <c r="N21" s="14">
        <f>IF(AND(時間編集!C21&lt;&gt;"",時間編集!D21&lt;&gt;""),IF(AND(時間編集!E21&lt;&gt;"",時間編集!F21&lt;&gt;"",時間編集!E21&lt;=0.5625,時間編集!F21&gt;=0.5833333333333334),"中抜",IF(AND(時間編集!C21&lt;=0.5625,時間編集!D21&gt;=0.5833333333333334),"●","")),"")</f>
        <v/>
      </c>
      <c r="O21" s="14">
        <f>IF(AND(時間編集!C21&lt;&gt;"",時間編集!D21&lt;&gt;""),IF(AND(時間編集!E21&lt;&gt;"",時間編集!F21&lt;&gt;"",時間編集!E21&lt;=0.5833333333333334,時間編集!F21&gt;=0.6041666666666666),"中抜",IF(AND(時間編集!C21&lt;=0.5833333333333334,時間編集!D21&gt;=0.6041666666666666),"●","")),"")</f>
        <v/>
      </c>
      <c r="P21" s="14">
        <f>IF(AND(時間編集!C21&lt;&gt;"",時間編集!D21&lt;&gt;""),IF(AND(時間編集!E21&lt;&gt;"",時間編集!F21&lt;&gt;"",時間編集!E21&lt;=0.6041666666666666,時間編集!F21&gt;=0.625),"中抜",IF(AND(時間編集!C21&lt;=0.6041666666666666,時間編集!D21&gt;=0.625),"●","")),"")</f>
        <v/>
      </c>
      <c r="Q21" s="14">
        <f>IF(AND(時間編集!C21&lt;&gt;"",時間編集!D21&lt;&gt;""),IF(AND(時間編集!E21&lt;&gt;"",時間編集!F21&lt;&gt;"",時間編集!E21&lt;=0.625,時間編集!F21&gt;=0.6458333333333334),"中抜",IF(AND(時間編集!C21&lt;=0.625,時間編集!D21&gt;=0.6458333333333334),"●","")),"")</f>
        <v/>
      </c>
      <c r="R21" s="14">
        <f>IF(AND(時間編集!C21&lt;&gt;"",時間編集!D21&lt;&gt;""),IF(AND(時間編集!E21&lt;&gt;"",時間編集!F21&lt;&gt;"",時間編集!E21&lt;=0.6458333333333334,時間編集!F21&gt;=0.6666666666666666),"中抜",IF(AND(時間編集!C21&lt;=0.6458333333333334,時間編集!D21&gt;=0.6666666666666666),"●","")),"")</f>
        <v/>
      </c>
      <c r="S21" s="14">
        <f>IF(AND(時間編集!C21&lt;&gt;"",時間編集!D21&lt;&gt;""),IF(AND(時間編集!E21&lt;&gt;"",時間編集!F21&lt;&gt;"",時間編集!E21&lt;=0.6666666666666666,時間編集!F21&gt;=0.6875),"中抜",IF(AND(時間編集!C21&lt;=0.6666666666666666,時間編集!D21&gt;=0.6875),"●","")),"")</f>
        <v/>
      </c>
      <c r="T21" s="14">
        <f>IF(AND(時間編集!C21&lt;&gt;"",時間編集!D21&lt;&gt;""),IF(AND(時間編集!E21&lt;&gt;"",時間編集!F21&lt;&gt;"",時間編集!E21&lt;=0.6875,時間編集!F21&gt;=0.7083333333333334),"中抜",IF(AND(時間編集!C21&lt;=0.6875,時間編集!D21&gt;=0.7083333333333334),"●","")),"")</f>
        <v/>
      </c>
      <c r="U21" s="14">
        <f>IF(AND(時間編集!C21&lt;&gt;"",時間編集!D21&lt;&gt;""),IF(AND(時間編集!E21&lt;&gt;"",時間編集!F21&lt;&gt;"",時間編集!E21&lt;=0.7083333333333334,時間編集!F21&gt;=0.7291666666666666),"中抜",IF(AND(時間編集!C21&lt;=0.7083333333333334,時間編集!D21&gt;=0.7291666666666666),"●","")),"")</f>
        <v/>
      </c>
      <c r="V21" s="14">
        <f>IF(AND(時間編集!C21&lt;&gt;"",時間編集!D21&lt;&gt;""),IF(AND(時間編集!E21&lt;&gt;"",時間編集!F21&lt;&gt;"",時間編集!E21&lt;=0.7291666666666666,時間編集!F21&gt;=0.75),"中抜",IF(AND(時間編集!C21&lt;=0.7291666666666666,時間編集!D21&gt;=0.75),"●","")),"")</f>
        <v/>
      </c>
      <c r="W21" s="14">
        <f>IF(AND(時間編集!C21&lt;&gt;"",時間編集!D21&lt;&gt;""),IF(AND(時間編集!E21&lt;&gt;"",時間編集!F21&lt;&gt;"",時間編集!E21&lt;=0.75,時間編集!F21&gt;=0.7708333333333334),"中抜",IF(AND(時間編集!C21&lt;=0.75,時間編集!D21&gt;=0.7708333333333334),"●","")),"")</f>
        <v/>
      </c>
      <c r="X21" s="14">
        <f>IF(AND(時間編集!C21&lt;&gt;"",時間編集!D21&lt;&gt;""),IF(AND(時間編集!E21&lt;&gt;"",時間編集!F21&lt;&gt;"",時間編集!E21&lt;=0.7708333333333334,時間編集!F21&gt;=0.7916666666666666),"中抜",IF(AND(時間編集!C21&lt;=0.7708333333333334,時間編集!D21&gt;=0.7916666666666666),"●","")),"")</f>
        <v/>
      </c>
    </row>
    <row r="22" ht="18" customHeight="1">
      <c r="A22" s="8" t="n"/>
      <c r="B22" s="5" t="inlineStr">
        <is>
          <t>金</t>
        </is>
      </c>
      <c r="C22" s="14">
        <f>IF(AND(時間編集!C22&lt;&gt;"",時間編集!D22&lt;&gt;""),IF(AND(時間編集!E22&lt;&gt;"",時間編集!F22&lt;&gt;"",時間編集!E22&lt;=0.3333333333333333,時間編集!F22&gt;=0.3541666666666667),"中抜",IF(AND(時間編集!C22&lt;=0.3333333333333333,時間編集!D22&gt;=0.3541666666666667),"●","")),"")</f>
        <v/>
      </c>
      <c r="D22" s="14">
        <f>IF(AND(時間編集!C22&lt;&gt;"",時間編集!D22&lt;&gt;""),IF(AND(時間編集!E22&lt;&gt;"",時間編集!F22&lt;&gt;"",時間編集!E22&lt;=0.3541666666666667,時間編集!F22&gt;=0.375),"中抜",IF(AND(時間編集!C22&lt;=0.3541666666666667,時間編集!D22&gt;=0.375),"●","")),"")</f>
        <v/>
      </c>
      <c r="E22" s="14">
        <f>IF(AND(時間編集!C22&lt;&gt;"",時間編集!D22&lt;&gt;""),IF(AND(時間編集!E22&lt;&gt;"",時間編集!F22&lt;&gt;"",時間編集!E22&lt;=0.375,時間編集!F22&gt;=0.3958333333333333),"中抜",IF(AND(時間編集!C22&lt;=0.375,時間編集!D22&gt;=0.3958333333333333),"●","")),"")</f>
        <v/>
      </c>
      <c r="F22" s="14">
        <f>IF(AND(時間編集!C22&lt;&gt;"",時間編集!D22&lt;&gt;""),IF(AND(時間編集!E22&lt;&gt;"",時間編集!F22&lt;&gt;"",時間編集!E22&lt;=0.3958333333333333,時間編集!F22&gt;=0.4166666666666667),"中抜",IF(AND(時間編集!C22&lt;=0.3958333333333333,時間編集!D22&gt;=0.4166666666666667),"●","")),"")</f>
        <v/>
      </c>
      <c r="G22" s="14">
        <f>IF(AND(時間編集!C22&lt;&gt;"",時間編集!D22&lt;&gt;""),IF(AND(時間編集!E22&lt;&gt;"",時間編集!F22&lt;&gt;"",時間編集!E22&lt;=0.4166666666666667,時間編集!F22&gt;=0.4375),"中抜",IF(AND(時間編集!C22&lt;=0.4166666666666667,時間編集!D22&gt;=0.4375),"●","")),"")</f>
        <v/>
      </c>
      <c r="H22" s="14">
        <f>IF(AND(時間編集!C22&lt;&gt;"",時間編集!D22&lt;&gt;""),IF(AND(時間編集!E22&lt;&gt;"",時間編集!F22&lt;&gt;"",時間編集!E22&lt;=0.4375,時間編集!F22&gt;=0.4583333333333333),"中抜",IF(AND(時間編集!C22&lt;=0.4375,時間編集!D22&gt;=0.4583333333333333),"●","")),"")</f>
        <v/>
      </c>
      <c r="I22" s="14">
        <f>IF(AND(時間編集!C22&lt;&gt;"",時間編集!D22&lt;&gt;""),IF(AND(時間編集!E22&lt;&gt;"",時間編集!F22&lt;&gt;"",時間編集!E22&lt;=0.4583333333333333,時間編集!F22&gt;=0.4791666666666667),"中抜",IF(AND(時間編集!C22&lt;=0.4583333333333333,時間編集!D22&gt;=0.4791666666666667),"●","")),"")</f>
        <v/>
      </c>
      <c r="J22" s="14">
        <f>IF(AND(時間編集!C22&lt;&gt;"",時間編集!D22&lt;&gt;""),IF(AND(時間編集!E22&lt;&gt;"",時間編集!F22&lt;&gt;"",時間編集!E22&lt;=0.4791666666666667,時間編集!F22&gt;=0.5),"中抜",IF(AND(時間編集!C22&lt;=0.4791666666666667,時間編集!D22&gt;=0.5),"●","")),"")</f>
        <v/>
      </c>
      <c r="K22" s="14">
        <f>IF(AND(時間編集!C22&lt;&gt;"",時間編集!D22&lt;&gt;""),IF(AND(時間編集!E22&lt;&gt;"",時間編集!F22&lt;&gt;"",時間編集!E22&lt;=0.5,時間編集!F22&gt;=0.5208333333333334),"中抜",IF(AND(時間編集!C22&lt;=0.5,時間編集!D22&gt;=0.5208333333333334),"●","")),"")</f>
        <v/>
      </c>
      <c r="L22" s="14">
        <f>IF(AND(時間編集!C22&lt;&gt;"",時間編集!D22&lt;&gt;""),IF(AND(時間編集!E22&lt;&gt;"",時間編集!F22&lt;&gt;"",時間編集!E22&lt;=0.5208333333333334,時間編集!F22&gt;=0.5416666666666666),"中抜",IF(AND(時間編集!C22&lt;=0.5208333333333334,時間編集!D22&gt;=0.5416666666666666),"●","")),"")</f>
        <v/>
      </c>
      <c r="M22" s="14">
        <f>IF(AND(時間編集!C22&lt;&gt;"",時間編集!D22&lt;&gt;""),IF(AND(時間編集!E22&lt;&gt;"",時間編集!F22&lt;&gt;"",時間編集!E22&lt;=0.5416666666666666,時間編集!F22&gt;=0.5625),"中抜",IF(AND(時間編集!C22&lt;=0.5416666666666666,時間編集!D22&gt;=0.5625),"●","")),"")</f>
        <v/>
      </c>
      <c r="N22" s="14">
        <f>IF(AND(時間編集!C22&lt;&gt;"",時間編集!D22&lt;&gt;""),IF(AND(時間編集!E22&lt;&gt;"",時間編集!F22&lt;&gt;"",時間編集!E22&lt;=0.5625,時間編集!F22&gt;=0.5833333333333334),"中抜",IF(AND(時間編集!C22&lt;=0.5625,時間編集!D22&gt;=0.5833333333333334),"●","")),"")</f>
        <v/>
      </c>
      <c r="O22" s="14">
        <f>IF(AND(時間編集!C22&lt;&gt;"",時間編集!D22&lt;&gt;""),IF(AND(時間編集!E22&lt;&gt;"",時間編集!F22&lt;&gt;"",時間編集!E22&lt;=0.5833333333333334,時間編集!F22&gt;=0.6041666666666666),"中抜",IF(AND(時間編集!C22&lt;=0.5833333333333334,時間編集!D22&gt;=0.6041666666666666),"●","")),"")</f>
        <v/>
      </c>
      <c r="P22" s="14">
        <f>IF(AND(時間編集!C22&lt;&gt;"",時間編集!D22&lt;&gt;""),IF(AND(時間編集!E22&lt;&gt;"",時間編集!F22&lt;&gt;"",時間編集!E22&lt;=0.6041666666666666,時間編集!F22&gt;=0.625),"中抜",IF(AND(時間編集!C22&lt;=0.6041666666666666,時間編集!D22&gt;=0.625),"●","")),"")</f>
        <v/>
      </c>
      <c r="Q22" s="14">
        <f>IF(AND(時間編集!C22&lt;&gt;"",時間編集!D22&lt;&gt;""),IF(AND(時間編集!E22&lt;&gt;"",時間編集!F22&lt;&gt;"",時間編集!E22&lt;=0.625,時間編集!F22&gt;=0.6458333333333334),"中抜",IF(AND(時間編集!C22&lt;=0.625,時間編集!D22&gt;=0.6458333333333334),"●","")),"")</f>
        <v/>
      </c>
      <c r="R22" s="14">
        <f>IF(AND(時間編集!C22&lt;&gt;"",時間編集!D22&lt;&gt;""),IF(AND(時間編集!E22&lt;&gt;"",時間編集!F22&lt;&gt;"",時間編集!E22&lt;=0.6458333333333334,時間編集!F22&gt;=0.6666666666666666),"中抜",IF(AND(時間編集!C22&lt;=0.6458333333333334,時間編集!D22&gt;=0.6666666666666666),"●","")),"")</f>
        <v/>
      </c>
      <c r="S22" s="14">
        <f>IF(AND(時間編集!C22&lt;&gt;"",時間編集!D22&lt;&gt;""),IF(AND(時間編集!E22&lt;&gt;"",時間編集!F22&lt;&gt;"",時間編集!E22&lt;=0.6666666666666666,時間編集!F22&gt;=0.6875),"中抜",IF(AND(時間編集!C22&lt;=0.6666666666666666,時間編集!D22&gt;=0.6875),"●","")),"")</f>
        <v/>
      </c>
      <c r="T22" s="14">
        <f>IF(AND(時間編集!C22&lt;&gt;"",時間編集!D22&lt;&gt;""),IF(AND(時間編集!E22&lt;&gt;"",時間編集!F22&lt;&gt;"",時間編集!E22&lt;=0.6875,時間編集!F22&gt;=0.7083333333333334),"中抜",IF(AND(時間編集!C22&lt;=0.6875,時間編集!D22&gt;=0.7083333333333334),"●","")),"")</f>
        <v/>
      </c>
      <c r="U22" s="14">
        <f>IF(AND(時間編集!C22&lt;&gt;"",時間編集!D22&lt;&gt;""),IF(AND(時間編集!E22&lt;&gt;"",時間編集!F22&lt;&gt;"",時間編集!E22&lt;=0.7083333333333334,時間編集!F22&gt;=0.7291666666666666),"中抜",IF(AND(時間編集!C22&lt;=0.7083333333333334,時間編集!D22&gt;=0.7291666666666666),"●","")),"")</f>
        <v/>
      </c>
      <c r="V22" s="14">
        <f>IF(AND(時間編集!C22&lt;&gt;"",時間編集!D22&lt;&gt;""),IF(AND(時間編集!E22&lt;&gt;"",時間編集!F22&lt;&gt;"",時間編集!E22&lt;=0.7291666666666666,時間編集!F22&gt;=0.75),"中抜",IF(AND(時間編集!C22&lt;=0.7291666666666666,時間編集!D22&gt;=0.75),"●","")),"")</f>
        <v/>
      </c>
      <c r="W22" s="14">
        <f>IF(AND(時間編集!C22&lt;&gt;"",時間編集!D22&lt;&gt;""),IF(AND(時間編集!E22&lt;&gt;"",時間編集!F22&lt;&gt;"",時間編集!E22&lt;=0.75,時間編集!F22&gt;=0.7708333333333334),"中抜",IF(AND(時間編集!C22&lt;=0.75,時間編集!D22&gt;=0.7708333333333334),"●","")),"")</f>
        <v/>
      </c>
      <c r="X22" s="14">
        <f>IF(AND(時間編集!C22&lt;&gt;"",時間編集!D22&lt;&gt;""),IF(AND(時間編集!E22&lt;&gt;"",時間編集!F22&lt;&gt;"",時間編集!E22&lt;=0.7708333333333334,時間編集!F22&gt;=0.7916666666666666),"中抜",IF(AND(時間編集!C22&lt;=0.7708333333333334,時間編集!D22&gt;=0.7916666666666666),"●","")),"")</f>
        <v/>
      </c>
    </row>
    <row r="23" ht="18" customHeight="1">
      <c r="A23" s="8" t="n"/>
      <c r="B23" s="5" t="inlineStr">
        <is>
          <t>土</t>
        </is>
      </c>
      <c r="C23" s="14">
        <f>IF(AND(時間編集!C23&lt;&gt;"",時間編集!D23&lt;&gt;""),IF(AND(時間編集!E23&lt;&gt;"",時間編集!F23&lt;&gt;"",時間編集!E23&lt;=0.3333333333333333,時間編集!F23&gt;=0.3541666666666667),"中抜",IF(AND(時間編集!C23&lt;=0.3333333333333333,時間編集!D23&gt;=0.3541666666666667),"●","")),"")</f>
        <v/>
      </c>
      <c r="D23" s="14">
        <f>IF(AND(時間編集!C23&lt;&gt;"",時間編集!D23&lt;&gt;""),IF(AND(時間編集!E23&lt;&gt;"",時間編集!F23&lt;&gt;"",時間編集!E23&lt;=0.3541666666666667,時間編集!F23&gt;=0.375),"中抜",IF(AND(時間編集!C23&lt;=0.3541666666666667,時間編集!D23&gt;=0.375),"●","")),"")</f>
        <v/>
      </c>
      <c r="E23" s="14">
        <f>IF(AND(時間編集!C23&lt;&gt;"",時間編集!D23&lt;&gt;""),IF(AND(時間編集!E23&lt;&gt;"",時間編集!F23&lt;&gt;"",時間編集!E23&lt;=0.375,時間編集!F23&gt;=0.3958333333333333),"中抜",IF(AND(時間編集!C23&lt;=0.375,時間編集!D23&gt;=0.3958333333333333),"●","")),"")</f>
        <v/>
      </c>
      <c r="F23" s="14">
        <f>IF(AND(時間編集!C23&lt;&gt;"",時間編集!D23&lt;&gt;""),IF(AND(時間編集!E23&lt;&gt;"",時間編集!F23&lt;&gt;"",時間編集!E23&lt;=0.3958333333333333,時間編集!F23&gt;=0.4166666666666667),"中抜",IF(AND(時間編集!C23&lt;=0.3958333333333333,時間編集!D23&gt;=0.4166666666666667),"●","")),"")</f>
        <v/>
      </c>
      <c r="G23" s="14">
        <f>IF(AND(時間編集!C23&lt;&gt;"",時間編集!D23&lt;&gt;""),IF(AND(時間編集!E23&lt;&gt;"",時間編集!F23&lt;&gt;"",時間編集!E23&lt;=0.4166666666666667,時間編集!F23&gt;=0.4375),"中抜",IF(AND(時間編集!C23&lt;=0.4166666666666667,時間編集!D23&gt;=0.4375),"●","")),"")</f>
        <v/>
      </c>
      <c r="H23" s="14">
        <f>IF(AND(時間編集!C23&lt;&gt;"",時間編集!D23&lt;&gt;""),IF(AND(時間編集!E23&lt;&gt;"",時間編集!F23&lt;&gt;"",時間編集!E23&lt;=0.4375,時間編集!F23&gt;=0.4583333333333333),"中抜",IF(AND(時間編集!C23&lt;=0.4375,時間編集!D23&gt;=0.4583333333333333),"●","")),"")</f>
        <v/>
      </c>
      <c r="I23" s="14">
        <f>IF(AND(時間編集!C23&lt;&gt;"",時間編集!D23&lt;&gt;""),IF(AND(時間編集!E23&lt;&gt;"",時間編集!F23&lt;&gt;"",時間編集!E23&lt;=0.4583333333333333,時間編集!F23&gt;=0.4791666666666667),"中抜",IF(AND(時間編集!C23&lt;=0.4583333333333333,時間編集!D23&gt;=0.4791666666666667),"●","")),"")</f>
        <v/>
      </c>
      <c r="J23" s="14">
        <f>IF(AND(時間編集!C23&lt;&gt;"",時間編集!D23&lt;&gt;""),IF(AND(時間編集!E23&lt;&gt;"",時間編集!F23&lt;&gt;"",時間編集!E23&lt;=0.4791666666666667,時間編集!F23&gt;=0.5),"中抜",IF(AND(時間編集!C23&lt;=0.4791666666666667,時間編集!D23&gt;=0.5),"●","")),"")</f>
        <v/>
      </c>
      <c r="K23" s="14">
        <f>IF(AND(時間編集!C23&lt;&gt;"",時間編集!D23&lt;&gt;""),IF(AND(時間編集!E23&lt;&gt;"",時間編集!F23&lt;&gt;"",時間編集!E23&lt;=0.5,時間編集!F23&gt;=0.5208333333333334),"中抜",IF(AND(時間編集!C23&lt;=0.5,時間編集!D23&gt;=0.5208333333333334),"●","")),"")</f>
        <v/>
      </c>
      <c r="L23" s="14">
        <f>IF(AND(時間編集!C23&lt;&gt;"",時間編集!D23&lt;&gt;""),IF(AND(時間編集!E23&lt;&gt;"",時間編集!F23&lt;&gt;"",時間編集!E23&lt;=0.5208333333333334,時間編集!F23&gt;=0.5416666666666666),"中抜",IF(AND(時間編集!C23&lt;=0.5208333333333334,時間編集!D23&gt;=0.5416666666666666),"●","")),"")</f>
        <v/>
      </c>
      <c r="M23" s="14">
        <f>IF(AND(時間編集!C23&lt;&gt;"",時間編集!D23&lt;&gt;""),IF(AND(時間編集!E23&lt;&gt;"",時間編集!F23&lt;&gt;"",時間編集!E23&lt;=0.5416666666666666,時間編集!F23&gt;=0.5625),"中抜",IF(AND(時間編集!C23&lt;=0.5416666666666666,時間編集!D23&gt;=0.5625),"●","")),"")</f>
        <v/>
      </c>
      <c r="N23" s="14">
        <f>IF(AND(時間編集!C23&lt;&gt;"",時間編集!D23&lt;&gt;""),IF(AND(時間編集!E23&lt;&gt;"",時間編集!F23&lt;&gt;"",時間編集!E23&lt;=0.5625,時間編集!F23&gt;=0.5833333333333334),"中抜",IF(AND(時間編集!C23&lt;=0.5625,時間編集!D23&gt;=0.5833333333333334),"●","")),"")</f>
        <v/>
      </c>
      <c r="O23" s="14">
        <f>IF(AND(時間編集!C23&lt;&gt;"",時間編集!D23&lt;&gt;""),IF(AND(時間編集!E23&lt;&gt;"",時間編集!F23&lt;&gt;"",時間編集!E23&lt;=0.5833333333333334,時間編集!F23&gt;=0.6041666666666666),"中抜",IF(AND(時間編集!C23&lt;=0.5833333333333334,時間編集!D23&gt;=0.6041666666666666),"●","")),"")</f>
        <v/>
      </c>
      <c r="P23" s="14">
        <f>IF(AND(時間編集!C23&lt;&gt;"",時間編集!D23&lt;&gt;""),IF(AND(時間編集!E23&lt;&gt;"",時間編集!F23&lt;&gt;"",時間編集!E23&lt;=0.6041666666666666,時間編集!F23&gt;=0.625),"中抜",IF(AND(時間編集!C23&lt;=0.6041666666666666,時間編集!D23&gt;=0.625),"●","")),"")</f>
        <v/>
      </c>
      <c r="Q23" s="14">
        <f>IF(AND(時間編集!C23&lt;&gt;"",時間編集!D23&lt;&gt;""),IF(AND(時間編集!E23&lt;&gt;"",時間編集!F23&lt;&gt;"",時間編集!E23&lt;=0.625,時間編集!F23&gt;=0.6458333333333334),"中抜",IF(AND(時間編集!C23&lt;=0.625,時間編集!D23&gt;=0.6458333333333334),"●","")),"")</f>
        <v/>
      </c>
      <c r="R23" s="14">
        <f>IF(AND(時間編集!C23&lt;&gt;"",時間編集!D23&lt;&gt;""),IF(AND(時間編集!E23&lt;&gt;"",時間編集!F23&lt;&gt;"",時間編集!E23&lt;=0.6458333333333334,時間編集!F23&gt;=0.6666666666666666),"中抜",IF(AND(時間編集!C23&lt;=0.6458333333333334,時間編集!D23&gt;=0.6666666666666666),"●","")),"")</f>
        <v/>
      </c>
      <c r="S23" s="14">
        <f>IF(AND(時間編集!C23&lt;&gt;"",時間編集!D23&lt;&gt;""),IF(AND(時間編集!E23&lt;&gt;"",時間編集!F23&lt;&gt;"",時間編集!E23&lt;=0.6666666666666666,時間編集!F23&gt;=0.6875),"中抜",IF(AND(時間編集!C23&lt;=0.6666666666666666,時間編集!D23&gt;=0.6875),"●","")),"")</f>
        <v/>
      </c>
      <c r="T23" s="14">
        <f>IF(AND(時間編集!C23&lt;&gt;"",時間編集!D23&lt;&gt;""),IF(AND(時間編集!E23&lt;&gt;"",時間編集!F23&lt;&gt;"",時間編集!E23&lt;=0.6875,時間編集!F23&gt;=0.7083333333333334),"中抜",IF(AND(時間編集!C23&lt;=0.6875,時間編集!D23&gt;=0.7083333333333334),"●","")),"")</f>
        <v/>
      </c>
      <c r="U23" s="14">
        <f>IF(AND(時間編集!C23&lt;&gt;"",時間編集!D23&lt;&gt;""),IF(AND(時間編集!E23&lt;&gt;"",時間編集!F23&lt;&gt;"",時間編集!E23&lt;=0.7083333333333334,時間編集!F23&gt;=0.7291666666666666),"中抜",IF(AND(時間編集!C23&lt;=0.7083333333333334,時間編集!D23&gt;=0.7291666666666666),"●","")),"")</f>
        <v/>
      </c>
      <c r="V23" s="14">
        <f>IF(AND(時間編集!C23&lt;&gt;"",時間編集!D23&lt;&gt;""),IF(AND(時間編集!E23&lt;&gt;"",時間編集!F23&lt;&gt;"",時間編集!E23&lt;=0.7291666666666666,時間編集!F23&gt;=0.75),"中抜",IF(AND(時間編集!C23&lt;=0.7291666666666666,時間編集!D23&gt;=0.75),"●","")),"")</f>
        <v/>
      </c>
      <c r="W23" s="14">
        <f>IF(AND(時間編集!C23&lt;&gt;"",時間編集!D23&lt;&gt;""),IF(AND(時間編集!E23&lt;&gt;"",時間編集!F23&lt;&gt;"",時間編集!E23&lt;=0.75,時間編集!F23&gt;=0.7708333333333334),"中抜",IF(AND(時間編集!C23&lt;=0.75,時間編集!D23&gt;=0.7708333333333334),"●","")),"")</f>
        <v/>
      </c>
      <c r="X23" s="14">
        <f>IF(AND(時間編集!C23&lt;&gt;"",時間編集!D23&lt;&gt;""),IF(AND(時間編集!E23&lt;&gt;"",時間編集!F23&lt;&gt;"",時間編集!E23&lt;=0.7708333333333334,時間編集!F23&gt;=0.7916666666666666),"中抜",IF(AND(時間編集!C23&lt;=0.7708333333333334,時間編集!D23&gt;=0.7916666666666666),"●","")),"")</f>
        <v/>
      </c>
    </row>
    <row r="24" ht="18" customHeight="1">
      <c r="A24" s="9" t="n"/>
      <c r="B24" s="5" t="inlineStr">
        <is>
          <t>日</t>
        </is>
      </c>
      <c r="C24" s="14">
        <f>IF(AND(時間編集!C24&lt;&gt;"",時間編集!D24&lt;&gt;""),IF(AND(時間編集!E24&lt;&gt;"",時間編集!F24&lt;&gt;"",時間編集!E24&lt;=0.3333333333333333,時間編集!F24&gt;=0.3541666666666667),"中抜",IF(AND(時間編集!C24&lt;=0.3333333333333333,時間編集!D24&gt;=0.3541666666666667),"●","")),"")</f>
        <v/>
      </c>
      <c r="D24" s="14">
        <f>IF(AND(時間編集!C24&lt;&gt;"",時間編集!D24&lt;&gt;""),IF(AND(時間編集!E24&lt;&gt;"",時間編集!F24&lt;&gt;"",時間編集!E24&lt;=0.3541666666666667,時間編集!F24&gt;=0.375),"中抜",IF(AND(時間編集!C24&lt;=0.3541666666666667,時間編集!D24&gt;=0.375),"●","")),"")</f>
        <v/>
      </c>
      <c r="E24" s="14">
        <f>IF(AND(時間編集!C24&lt;&gt;"",時間編集!D24&lt;&gt;""),IF(AND(時間編集!E24&lt;&gt;"",時間編集!F24&lt;&gt;"",時間編集!E24&lt;=0.375,時間編集!F24&gt;=0.3958333333333333),"中抜",IF(AND(時間編集!C24&lt;=0.375,時間編集!D24&gt;=0.3958333333333333),"●","")),"")</f>
        <v/>
      </c>
      <c r="F24" s="14">
        <f>IF(AND(時間編集!C24&lt;&gt;"",時間編集!D24&lt;&gt;""),IF(AND(時間編集!E24&lt;&gt;"",時間編集!F24&lt;&gt;"",時間編集!E24&lt;=0.3958333333333333,時間編集!F24&gt;=0.4166666666666667),"中抜",IF(AND(時間編集!C24&lt;=0.3958333333333333,時間編集!D24&gt;=0.4166666666666667),"●","")),"")</f>
        <v/>
      </c>
      <c r="G24" s="14">
        <f>IF(AND(時間編集!C24&lt;&gt;"",時間編集!D24&lt;&gt;""),IF(AND(時間編集!E24&lt;&gt;"",時間編集!F24&lt;&gt;"",時間編集!E24&lt;=0.4166666666666667,時間編集!F24&gt;=0.4375),"中抜",IF(AND(時間編集!C24&lt;=0.4166666666666667,時間編集!D24&gt;=0.4375),"●","")),"")</f>
        <v/>
      </c>
      <c r="H24" s="14">
        <f>IF(AND(時間編集!C24&lt;&gt;"",時間編集!D24&lt;&gt;""),IF(AND(時間編集!E24&lt;&gt;"",時間編集!F24&lt;&gt;"",時間編集!E24&lt;=0.4375,時間編集!F24&gt;=0.4583333333333333),"中抜",IF(AND(時間編集!C24&lt;=0.4375,時間編集!D24&gt;=0.4583333333333333),"●","")),"")</f>
        <v/>
      </c>
      <c r="I24" s="14">
        <f>IF(AND(時間編集!C24&lt;&gt;"",時間編集!D24&lt;&gt;""),IF(AND(時間編集!E24&lt;&gt;"",時間編集!F24&lt;&gt;"",時間編集!E24&lt;=0.4583333333333333,時間編集!F24&gt;=0.4791666666666667),"中抜",IF(AND(時間編集!C24&lt;=0.4583333333333333,時間編集!D24&gt;=0.4791666666666667),"●","")),"")</f>
        <v/>
      </c>
      <c r="J24" s="14">
        <f>IF(AND(時間編集!C24&lt;&gt;"",時間編集!D24&lt;&gt;""),IF(AND(時間編集!E24&lt;&gt;"",時間編集!F24&lt;&gt;"",時間編集!E24&lt;=0.4791666666666667,時間編集!F24&gt;=0.5),"中抜",IF(AND(時間編集!C24&lt;=0.4791666666666667,時間編集!D24&gt;=0.5),"●","")),"")</f>
        <v/>
      </c>
      <c r="K24" s="14">
        <f>IF(AND(時間編集!C24&lt;&gt;"",時間編集!D24&lt;&gt;""),IF(AND(時間編集!E24&lt;&gt;"",時間編集!F24&lt;&gt;"",時間編集!E24&lt;=0.5,時間編集!F24&gt;=0.5208333333333334),"中抜",IF(AND(時間編集!C24&lt;=0.5,時間編集!D24&gt;=0.5208333333333334),"●","")),"")</f>
        <v/>
      </c>
      <c r="L24" s="14">
        <f>IF(AND(時間編集!C24&lt;&gt;"",時間編集!D24&lt;&gt;""),IF(AND(時間編集!E24&lt;&gt;"",時間編集!F24&lt;&gt;"",時間編集!E24&lt;=0.5208333333333334,時間編集!F24&gt;=0.5416666666666666),"中抜",IF(AND(時間編集!C24&lt;=0.5208333333333334,時間編集!D24&gt;=0.5416666666666666),"●","")),"")</f>
        <v/>
      </c>
      <c r="M24" s="14">
        <f>IF(AND(時間編集!C24&lt;&gt;"",時間編集!D24&lt;&gt;""),IF(AND(時間編集!E24&lt;&gt;"",時間編集!F24&lt;&gt;"",時間編集!E24&lt;=0.5416666666666666,時間編集!F24&gt;=0.5625),"中抜",IF(AND(時間編集!C24&lt;=0.5416666666666666,時間編集!D24&gt;=0.5625),"●","")),"")</f>
        <v/>
      </c>
      <c r="N24" s="14">
        <f>IF(AND(時間編集!C24&lt;&gt;"",時間編集!D24&lt;&gt;""),IF(AND(時間編集!E24&lt;&gt;"",時間編集!F24&lt;&gt;"",時間編集!E24&lt;=0.5625,時間編集!F24&gt;=0.5833333333333334),"中抜",IF(AND(時間編集!C24&lt;=0.5625,時間編集!D24&gt;=0.5833333333333334),"●","")),"")</f>
        <v/>
      </c>
      <c r="O24" s="14">
        <f>IF(AND(時間編集!C24&lt;&gt;"",時間編集!D24&lt;&gt;""),IF(AND(時間編集!E24&lt;&gt;"",時間編集!F24&lt;&gt;"",時間編集!E24&lt;=0.5833333333333334,時間編集!F24&gt;=0.6041666666666666),"中抜",IF(AND(時間編集!C24&lt;=0.5833333333333334,時間編集!D24&gt;=0.6041666666666666),"●","")),"")</f>
        <v/>
      </c>
      <c r="P24" s="14">
        <f>IF(AND(時間編集!C24&lt;&gt;"",時間編集!D24&lt;&gt;""),IF(AND(時間編集!E24&lt;&gt;"",時間編集!F24&lt;&gt;"",時間編集!E24&lt;=0.6041666666666666,時間編集!F24&gt;=0.625),"中抜",IF(AND(時間編集!C24&lt;=0.6041666666666666,時間編集!D24&gt;=0.625),"●","")),"")</f>
        <v/>
      </c>
      <c r="Q24" s="14">
        <f>IF(AND(時間編集!C24&lt;&gt;"",時間編集!D24&lt;&gt;""),IF(AND(時間編集!E24&lt;&gt;"",時間編集!F24&lt;&gt;"",時間編集!E24&lt;=0.625,時間編集!F24&gt;=0.6458333333333334),"中抜",IF(AND(時間編集!C24&lt;=0.625,時間編集!D24&gt;=0.6458333333333334),"●","")),"")</f>
        <v/>
      </c>
      <c r="R24" s="14">
        <f>IF(AND(時間編集!C24&lt;&gt;"",時間編集!D24&lt;&gt;""),IF(AND(時間編集!E24&lt;&gt;"",時間編集!F24&lt;&gt;"",時間編集!E24&lt;=0.6458333333333334,時間編集!F24&gt;=0.6666666666666666),"中抜",IF(AND(時間編集!C24&lt;=0.6458333333333334,時間編集!D24&gt;=0.6666666666666666),"●","")),"")</f>
        <v/>
      </c>
      <c r="S24" s="14">
        <f>IF(AND(時間編集!C24&lt;&gt;"",時間編集!D24&lt;&gt;""),IF(AND(時間編集!E24&lt;&gt;"",時間編集!F24&lt;&gt;"",時間編集!E24&lt;=0.6666666666666666,時間編集!F24&gt;=0.6875),"中抜",IF(AND(時間編集!C24&lt;=0.6666666666666666,時間編集!D24&gt;=0.6875),"●","")),"")</f>
        <v/>
      </c>
      <c r="T24" s="14">
        <f>IF(AND(時間編集!C24&lt;&gt;"",時間編集!D24&lt;&gt;""),IF(AND(時間編集!E24&lt;&gt;"",時間編集!F24&lt;&gt;"",時間編集!E24&lt;=0.6875,時間編集!F24&gt;=0.7083333333333334),"中抜",IF(AND(時間編集!C24&lt;=0.6875,時間編集!D24&gt;=0.7083333333333334),"●","")),"")</f>
        <v/>
      </c>
      <c r="U24" s="14">
        <f>IF(AND(時間編集!C24&lt;&gt;"",時間編集!D24&lt;&gt;""),IF(AND(時間編集!E24&lt;&gt;"",時間編集!F24&lt;&gt;"",時間編集!E24&lt;=0.7083333333333334,時間編集!F24&gt;=0.7291666666666666),"中抜",IF(AND(時間編集!C24&lt;=0.7083333333333334,時間編集!D24&gt;=0.7291666666666666),"●","")),"")</f>
        <v/>
      </c>
      <c r="V24" s="14">
        <f>IF(AND(時間編集!C24&lt;&gt;"",時間編集!D24&lt;&gt;""),IF(AND(時間編集!E24&lt;&gt;"",時間編集!F24&lt;&gt;"",時間編集!E24&lt;=0.7291666666666666,時間編集!F24&gt;=0.75),"中抜",IF(AND(時間編集!C24&lt;=0.7291666666666666,時間編集!D24&gt;=0.75),"●","")),"")</f>
        <v/>
      </c>
      <c r="W24" s="14">
        <f>IF(AND(時間編集!C24&lt;&gt;"",時間編集!D24&lt;&gt;""),IF(AND(時間編集!E24&lt;&gt;"",時間編集!F24&lt;&gt;"",時間編集!E24&lt;=0.75,時間編集!F24&gt;=0.7708333333333334),"中抜",IF(AND(時間編集!C24&lt;=0.75,時間編集!D24&gt;=0.7708333333333334),"●","")),"")</f>
        <v/>
      </c>
      <c r="X24" s="14">
        <f>IF(AND(時間編集!C24&lt;&gt;"",時間編集!D24&lt;&gt;""),IF(AND(時間編集!E24&lt;&gt;"",時間編集!F24&lt;&gt;"",時間編集!E24&lt;=0.7708333333333334,時間編集!F24&gt;=0.7916666666666666),"中抜",IF(AND(時間編集!C24&lt;=0.7708333333333334,時間編集!D24&gt;=0.7916666666666666),"●","")),"")</f>
        <v/>
      </c>
    </row>
  </sheetData>
  <mergeCells count="5">
    <mergeCell ref="A2:Y2"/>
    <mergeCell ref="A4:A10"/>
    <mergeCell ref="A1:Y1"/>
    <mergeCell ref="A18:A24"/>
    <mergeCell ref="A11:A17"/>
  </mergeCells>
  <conditionalFormatting sqref="C4:X24">
    <cfRule type="expression" priority="1" dxfId="0">
      <formula>C4="●"</formula>
    </cfRule>
    <cfRule type="expression" priority="2" dxfId="1">
      <formula>C4="中抜"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2026-05-12T12:10:10Z</dcterms:created>
  <dcterms:modified xmlns:dcterms="http://purl.org/dc/terms/" xmlns:xsi="http://www.w3.org/2001/XMLSchema-instance" xsi:type="dcterms:W3CDTF">2026-05-12T12:10:10Z</dcterms:modified>
</cp:coreProperties>
</file>